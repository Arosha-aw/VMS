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Docs\Assignments\"/>
    </mc:Choice>
  </mc:AlternateContent>
  <xr:revisionPtr revIDLastSave="0" documentId="13_ncr:1_{F5C1A607-D492-459A-8416-F58430C8A4B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Interface" sheetId="1" r:id="rId1"/>
    <sheet name="Data Table" sheetId="2" r:id="rId2"/>
    <sheet name="Overview" sheetId="3" r:id="rId3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" l="1"/>
  <c r="N10" i="3"/>
  <c r="L10" i="3"/>
  <c r="P6" i="3"/>
  <c r="N6" i="3"/>
  <c r="L6" i="3"/>
  <c r="P2" i="3"/>
  <c r="N2" i="3"/>
  <c r="L2" i="3"/>
  <c r="C4" i="3"/>
  <c r="F4" i="3"/>
  <c r="D4" i="3"/>
  <c r="F10" i="3"/>
  <c r="F9" i="3"/>
  <c r="F8" i="3"/>
  <c r="F7" i="3"/>
  <c r="F6" i="3"/>
  <c r="F5" i="3"/>
  <c r="D10" i="3"/>
  <c r="D9" i="3"/>
  <c r="D8" i="3"/>
  <c r="D7" i="3"/>
  <c r="D5" i="3"/>
  <c r="C10" i="3"/>
  <c r="C9" i="3"/>
  <c r="C8" i="3"/>
  <c r="C7" i="3"/>
  <c r="C6" i="3"/>
  <c r="C5" i="3"/>
  <c r="D6" i="3"/>
  <c r="I8" i="2"/>
  <c r="J8" i="2" s="1" a="1"/>
  <c r="J8" i="2" s="1"/>
  <c r="I3" i="2"/>
  <c r="J3" i="2" s="1" a="1"/>
  <c r="J3" i="2" s="1"/>
  <c r="I7" i="2"/>
  <c r="J7" i="2" s="1" a="1"/>
  <c r="J7" i="2" s="1"/>
  <c r="I2" i="2"/>
  <c r="J2" i="2" s="1" a="1"/>
  <c r="J2" i="2" s="1"/>
  <c r="I4" i="2"/>
  <c r="J4" i="2" s="1" a="1"/>
  <c r="J4" i="2" s="1"/>
  <c r="I5" i="2"/>
  <c r="J5" i="2" s="1" a="1"/>
  <c r="J5" i="2" s="1"/>
  <c r="I6" i="2"/>
  <c r="J6" i="2" s="1" a="1"/>
  <c r="J6" i="2" s="1"/>
  <c r="H2" i="2"/>
  <c r="D21" i="1"/>
  <c r="E21" i="1" s="1"/>
  <c r="F21" i="1" s="1" a="1"/>
  <c r="F21" i="1" s="1"/>
  <c r="H8" i="2"/>
  <c r="D24" i="1" s="1"/>
  <c r="E24" i="1" s="1"/>
  <c r="F24" i="1" s="1" a="1"/>
  <c r="F24" i="1" s="1"/>
  <c r="H7" i="2"/>
  <c r="H6" i="2"/>
  <c r="D22" i="1" s="1"/>
  <c r="E22" i="1" s="1"/>
  <c r="F22" i="1" s="1" a="1"/>
  <c r="F22" i="1" s="1"/>
  <c r="H5" i="2"/>
  <c r="H4" i="2"/>
  <c r="H3" i="2"/>
  <c r="D20" i="1" l="1"/>
  <c r="E20" i="1" s="1"/>
  <c r="F20" i="1" s="1" a="1"/>
  <c r="F20" i="1" s="1"/>
  <c r="D19" i="1"/>
  <c r="E19" i="1" s="1"/>
  <c r="F19" i="1" s="1" a="1"/>
  <c r="F19" i="1" s="1"/>
  <c r="D18" i="1"/>
  <c r="E18" i="1" s="1"/>
  <c r="F18" i="1" s="1" a="1"/>
  <c r="F18" i="1" s="1"/>
  <c r="D23" i="1"/>
  <c r="E23" i="1" s="1"/>
  <c r="F23" i="1" s="1" a="1"/>
  <c r="F23" i="1" s="1"/>
  <c r="E5" i="3"/>
  <c r="E9" i="3"/>
  <c r="E8" i="3"/>
  <c r="E7" i="3"/>
  <c r="E6" i="3"/>
  <c r="E10" i="3"/>
  <c r="D11" i="3"/>
  <c r="F11" i="3"/>
  <c r="C11" i="3"/>
  <c r="M7" i="1"/>
  <c r="M6" i="1"/>
  <c r="M5" i="1"/>
  <c r="M4" i="1"/>
  <c r="E4" i="3" l="1"/>
  <c r="E11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<sst xmlns="http://schemas.openxmlformats.org/spreadsheetml/2006/main" count="167" uniqueCount="23">
  <si>
    <t>Subject</t>
  </si>
  <si>
    <t>Date</t>
  </si>
  <si>
    <t>Part</t>
  </si>
  <si>
    <t>Duration</t>
  </si>
  <si>
    <t>Link</t>
  </si>
  <si>
    <t>Organisational Behaviour</t>
  </si>
  <si>
    <t>HRM</t>
  </si>
  <si>
    <t>Financial Management</t>
  </si>
  <si>
    <t>Business Law</t>
  </si>
  <si>
    <t>Marketing Management</t>
  </si>
  <si>
    <t>?</t>
  </si>
  <si>
    <t>Total</t>
  </si>
  <si>
    <t>Missing</t>
  </si>
  <si>
    <t>Watched</t>
  </si>
  <si>
    <t>Status</t>
  </si>
  <si>
    <t>Remain</t>
  </si>
  <si>
    <t>Overview</t>
  </si>
  <si>
    <t>Yes</t>
  </si>
  <si>
    <t>Cost Mgt &amp; Accounting</t>
  </si>
  <si>
    <t>Operation Management</t>
  </si>
  <si>
    <t>https://youtu.be/dQw4w9WgXcQ</t>
  </si>
  <si>
    <t>Total Missing</t>
  </si>
  <si>
    <t>Video Management 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</si>
</sst>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i/>
      <sz val="10"/>
      <color theme="0" tint="-0.14999847407452621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1"/>
      <color rgb="FF1F2427"/>
      <name val="Calibri"/>
      <family val="2"/>
      <scheme val="minor"/>
    </font>
    <font>
      <b/>
      <i/>
      <sz val="11"/>
      <color rgb="FF27CED7"/>
      <name val="Calibri"/>
      <family val="2"/>
      <scheme val="minor"/>
    </font>
    <font>
      <b/>
      <i/>
      <sz val="11"/>
      <color theme="5" tint="0.39997558519241921"/>
      <name val="Calibri"/>
      <family val="2"/>
      <scheme val="minor"/>
    </font>
    <font>
      <b/>
      <i/>
      <sz val="11"/>
      <color theme="8" tint="0.39997558519241921"/>
      <name val="Calibri"/>
      <family val="2"/>
      <scheme val="minor"/>
    </font>
    <font>
      <sz val="11"/>
      <color rgb="FF0D2D43"/>
      <name val="Calibri"/>
      <family val="2"/>
      <scheme val="minor"/>
    </font>
    <font>
      <sz val="11"/>
      <color rgb="FF00C2A8"/>
      <name val="Calibri"/>
      <family val="2"/>
      <scheme val="minor"/>
    </font>
    <font>
      <b/>
      <sz val="12"/>
      <color theme="0" tint="-4.9989318521683403E-2"/>
      <name val="Seogi UI"/>
    </font>
    <font>
      <b/>
      <i/>
      <sz val="22"/>
      <color rgb="FF00C2A8"/>
      <name val="Seogi Ui"/>
    </font>
    <font>
      <sz val="12"/>
      <color rgb="FF00C2A8"/>
      <name val="Seogi Ui"/>
    </font>
    <font>
      <sz val="12"/>
      <color theme="0"/>
      <name val="Seogi Ui"/>
    </font>
    <font>
      <sz val="11"/>
      <color theme="0"/>
      <name val="Seogi Ui"/>
    </font>
    <font>
      <sz val="12"/>
      <color theme="0" tint="-0.149998474074526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1F2427"/>
        <bgColor indexed="64"/>
      </patternFill>
    </fill>
    <fill>
      <patternFill patternType="solid">
        <fgColor rgb="FF0D2D43"/>
        <bgColor indexed="64"/>
      </patternFill>
    </fill>
    <fill>
      <patternFill patternType="solid">
        <fgColor rgb="FF0070C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rgb="FF0D2D43"/>
      </right>
      <top/>
      <bottom/>
      <diagonal/>
    </border>
    <border>
      <left/>
      <right/>
      <top/>
      <bottom style="thin">
        <color rgb="FF0D2D43"/>
      </bottom>
      <diagonal/>
    </border>
    <border>
      <left/>
      <right style="thin">
        <color rgb="FF0D2D43"/>
      </right>
      <top/>
      <bottom style="thin">
        <color rgb="FF0D2D43"/>
      </bottom>
      <diagonal/>
    </border>
    <border>
      <left/>
      <right style="thin">
        <color rgb="FF0D2D43"/>
      </right>
      <top style="thin">
        <color rgb="FF0D2D43"/>
      </top>
      <bottom style="thin">
        <color rgb="FF0D2D43"/>
      </bottom>
      <diagonal/>
    </border>
    <border>
      <left/>
      <right/>
      <top style="thin">
        <color rgb="FF0D2D43"/>
      </top>
      <bottom style="thin">
        <color rgb="FF0D2D43"/>
      </bottom>
      <diagonal/>
    </border>
    <border>
      <left/>
      <right/>
      <top/>
      <bottom style="thick">
        <color rgb="FF00C2A8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7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4" fontId="0" fillId="2" borderId="0" xfId="0" applyNumberFormat="1" applyFill="1" applyAlignment="1">
      <alignment horizontal="center"/>
    </xf>
    <xf numFmtId="0" fontId="7" fillId="0" borderId="5" xfId="0" applyFont="1" applyBorder="1" applyAlignment="1">
      <alignment horizontal="center"/>
    </xf>
    <xf numFmtId="14" fontId="7" fillId="0" borderId="8" xfId="0" applyNumberFormat="1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8" fillId="0" borderId="1" xfId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4" fontId="1" fillId="0" borderId="9" xfId="0" applyNumberFormat="1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8" fillId="0" borderId="1" xfId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left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left"/>
    </xf>
    <xf numFmtId="0" fontId="11" fillId="3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10" fillId="3" borderId="0" xfId="0" applyFont="1" applyFill="1"/>
    <xf numFmtId="0" fontId="13" fillId="3" borderId="0" xfId="0" applyFont="1" applyFill="1"/>
    <xf numFmtId="0" fontId="13" fillId="3" borderId="0" xfId="0" applyFont="1" applyFill="1" applyAlignment="1">
      <alignment horizontal="left"/>
    </xf>
    <xf numFmtId="0" fontId="13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/>
    </xf>
    <xf numFmtId="0" fontId="15" fillId="3" borderId="0" xfId="0" applyFont="1" applyFill="1" applyAlignment="1">
      <alignment horizontal="center"/>
    </xf>
    <xf numFmtId="0" fontId="16" fillId="3" borderId="0" xfId="0" applyFont="1" applyFill="1" applyAlignment="1">
      <alignment horizontal="center"/>
    </xf>
    <xf numFmtId="0" fontId="17" fillId="3" borderId="0" xfId="0" applyFont="1" applyFill="1" applyAlignment="1">
      <alignment horizontal="center"/>
    </xf>
    <xf numFmtId="0" fontId="0" fillId="4" borderId="0" xfId="0" applyFill="1"/>
    <xf numFmtId="0" fontId="0" fillId="4" borderId="10" xfId="0" applyFill="1" applyBorder="1"/>
    <xf numFmtId="0" fontId="0" fillId="4" borderId="11" xfId="0" applyFill="1" applyBorder="1"/>
    <xf numFmtId="0" fontId="0" fillId="4" borderId="11" xfId="0" applyFill="1" applyBorder="1" applyAlignment="1">
      <alignment horizontal="center"/>
    </xf>
    <xf numFmtId="0" fontId="0" fillId="4" borderId="12" xfId="0" applyFill="1" applyBorder="1"/>
    <xf numFmtId="0" fontId="0" fillId="4" borderId="13" xfId="0" applyFill="1" applyBorder="1"/>
    <xf numFmtId="0" fontId="18" fillId="4" borderId="0" xfId="0" applyFont="1" applyFill="1"/>
    <xf numFmtId="0" fontId="0" fillId="4" borderId="14" xfId="0" applyFill="1" applyBorder="1"/>
    <xf numFmtId="0" fontId="0" fillId="4" borderId="0" xfId="0" applyFill="1" applyAlignment="1">
      <alignment horizontal="center"/>
    </xf>
    <xf numFmtId="0" fontId="0" fillId="4" borderId="15" xfId="0" applyFill="1" applyBorder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7" xfId="0" applyFill="1" applyBorder="1"/>
    <xf numFmtId="0" fontId="19" fillId="4" borderId="0" xfId="0" applyFont="1" applyFill="1"/>
    <xf numFmtId="0" fontId="20" fillId="4" borderId="0" xfId="0" applyFont="1" applyFill="1"/>
    <xf numFmtId="0" fontId="21" fillId="5" borderId="20" xfId="0" applyFont="1" applyFill="1" applyBorder="1" applyAlignment="1">
      <alignment horizontal="center"/>
    </xf>
    <xf numFmtId="14" fontId="21" fillId="5" borderId="20" xfId="0" applyNumberFormat="1" applyFont="1" applyFill="1" applyBorder="1" applyAlignment="1">
      <alignment horizontal="center"/>
    </xf>
    <xf numFmtId="0" fontId="21" fillId="5" borderId="19" xfId="0" applyFont="1" applyFill="1" applyBorder="1" applyAlignment="1">
      <alignment horizontal="center"/>
    </xf>
    <xf numFmtId="0" fontId="22" fillId="5" borderId="21" xfId="0" applyFont="1" applyFill="1" applyBorder="1"/>
    <xf numFmtId="14" fontId="22" fillId="5" borderId="21" xfId="0" applyNumberFormat="1" applyFont="1" applyFill="1" applyBorder="1" applyAlignment="1">
      <alignment horizontal="center"/>
    </xf>
    <xf numFmtId="0" fontId="23" fillId="5" borderId="22" xfId="0" applyFont="1" applyFill="1" applyBorder="1" applyAlignment="1">
      <alignment horizontal="center"/>
    </xf>
    <xf numFmtId="0" fontId="22" fillId="5" borderId="20" xfId="0" applyFont="1" applyFill="1" applyBorder="1"/>
    <xf numFmtId="14" fontId="22" fillId="5" borderId="20" xfId="0" applyNumberFormat="1" applyFont="1" applyFill="1" applyBorder="1" applyAlignment="1">
      <alignment horizontal="center"/>
    </xf>
    <xf numFmtId="0" fontId="23" fillId="5" borderId="19" xfId="0" applyFont="1" applyFill="1" applyBorder="1" applyAlignment="1">
      <alignment horizontal="center"/>
    </xf>
    <xf numFmtId="0" fontId="22" fillId="5" borderId="18" xfId="0" applyFont="1" applyFill="1" applyBorder="1"/>
    <xf numFmtId="14" fontId="22" fillId="5" borderId="18" xfId="0" applyNumberFormat="1" applyFont="1" applyFill="1" applyBorder="1" applyAlignment="1">
      <alignment horizontal="center"/>
    </xf>
    <xf numFmtId="0" fontId="23" fillId="5" borderId="0" xfId="0" applyFont="1" applyFill="1" applyAlignment="1">
      <alignment horizontal="center"/>
    </xf>
    <xf numFmtId="0" fontId="24" fillId="4" borderId="23" xfId="0" applyFont="1" applyFill="1" applyBorder="1" applyAlignment="1">
      <alignment horizontal="center"/>
    </xf>
    <xf numFmtId="14" fontId="24" fillId="4" borderId="23" xfId="0" applyNumberFormat="1" applyFont="1" applyFill="1" applyBorder="1" applyAlignment="1">
      <alignment horizontal="center"/>
    </xf>
    <xf numFmtId="14" fontId="13" fillId="3" borderId="0" xfId="0" applyNumberFormat="1" applyFont="1" applyFill="1"/>
    <xf numFmtId="19" fontId="13" fillId="3" borderId="0" xfId="0" applyNumberFormat="1" applyFont="1" applyFill="1"/>
    <xf numFmtId="0" fontId="8" fillId="0" borderId="1" xfId="1" applyFont="1" applyFill="1" applyBorder="1" applyAlignment="1">
      <alignment horizontal="center"/>
    </xf>
    <xf numFmtId="0" fontId="0" fillId="2" borderId="0" xfId="0" applyFont="1" applyFill="1"/>
    <xf numFmtId="14" fontId="0" fillId="2" borderId="0" xfId="0" applyNumberFormat="1" applyFont="1" applyFill="1" applyAlignment="1">
      <alignment horizontal="center"/>
    </xf>
    <xf numFmtId="0" fontId="0" fillId="2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3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9" formatCode="m/d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color auto="1"/>
      </font>
      <fill>
        <patternFill patternType="lightGray">
          <fgColor rgb="FFFF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Seogi Ui"/>
        <scheme val="none"/>
      </font>
      <numFmt numFmtId="0" formatCode="General"/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Seogi Ui"/>
        <scheme val="none"/>
      </font>
      <numFmt numFmtId="19" formatCode="m/d/yyyy"/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rgb="FF0D2D43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2"/>
        <color theme="0"/>
        <name val="Seogi Ui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/>
        <right style="thin">
          <color rgb="FF0D2D43"/>
        </right>
        <top style="thin">
          <color theme="0"/>
        </top>
        <bottom style="thin">
          <color theme="0"/>
        </bottom>
      </border>
    </dxf>
    <dxf>
      <border>
        <top style="thin">
          <color theme="0"/>
        </top>
      </border>
    </dxf>
    <dxf>
      <font>
        <strike val="0"/>
        <outline val="0"/>
        <shadow val="0"/>
        <u val="none"/>
        <vertAlign val="baseline"/>
        <sz val="11"/>
        <color theme="0"/>
        <name val="Seogi Ui"/>
        <scheme val="none"/>
      </font>
      <fill>
        <patternFill patternType="solid">
          <fgColor indexed="64"/>
          <bgColor rgb="FF0070C0"/>
        </patternFill>
      </fill>
    </dxf>
    <dxf>
      <border>
        <bottom style="thin">
          <color rgb="FF0D2D43"/>
        </bottom>
      </border>
    </dxf>
    <dxf>
      <font>
        <strike val="0"/>
        <outline val="0"/>
        <shadow val="0"/>
        <u val="none"/>
        <vertAlign val="baseline"/>
        <sz val="12"/>
        <color rgb="FF00C2A8"/>
        <name val="Seogi Ui"/>
        <scheme val="none"/>
      </font>
      <fill>
        <patternFill patternType="solid">
          <fgColor indexed="64"/>
          <bgColor rgb="FF0070C0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14999847407452621"/>
        <name val="Calibri"/>
        <family val="2"/>
        <scheme val="minor"/>
      </font>
      <fill>
        <patternFill patternType="solid">
          <fgColor indexed="64"/>
          <bgColor rgb="FF1F2427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14999847407452621"/>
        <name val="Calibri"/>
        <family val="2"/>
        <scheme val="minor"/>
      </font>
      <fill>
        <patternFill patternType="solid">
          <fgColor indexed="64"/>
          <bgColor rgb="FF1F2427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14999847407452621"/>
        <name val="Calibri"/>
        <family val="2"/>
        <scheme val="minor"/>
      </font>
      <fill>
        <patternFill patternType="solid">
          <fgColor indexed="64"/>
          <bgColor rgb="FF1F2427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14999847407452621"/>
        <name val="Calibri"/>
        <family val="2"/>
        <scheme val="minor"/>
      </font>
      <fill>
        <patternFill patternType="solid">
          <fgColor indexed="64"/>
          <bgColor rgb="FF1F2427"/>
        </patternFill>
      </fill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14999847407452621"/>
        <name val="Calibri"/>
        <family val="2"/>
        <scheme val="minor"/>
      </font>
      <fill>
        <patternFill patternType="solid">
          <fgColor indexed="64"/>
          <bgColor rgb="FF1F2427"/>
        </patternFill>
      </fill>
      <alignment horizontal="left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 tint="-0.14999847407452621"/>
        <name val="Calibri"/>
        <family val="2"/>
        <scheme val="minor"/>
      </font>
      <fill>
        <patternFill patternType="solid">
          <fgColor indexed="64"/>
          <bgColor rgb="FF1F2427"/>
        </patternFill>
      </fill>
      <alignment horizontal="center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14999847407452621"/>
        <name val="Calibri"/>
        <family val="2"/>
        <scheme val="minor"/>
      </font>
      <fill>
        <patternFill patternType="solid">
          <fgColor indexed="64"/>
          <bgColor rgb="FF1F2427"/>
        </patternFill>
      </fill>
      <alignment horizontal="center" vertical="bottom" textRotation="0" wrapText="0" indent="0" justifyLastLine="0" shrinkToFit="0" readingOrder="0"/>
    </dxf>
    <dxf>
      <fill>
        <patternFill>
          <bgColor theme="4" tint="-0.499984740745262"/>
        </patternFill>
      </fill>
    </dxf>
  </dxfs>
  <tableStyles count="2" defaultTableStyle="TableStyleMedium2" defaultPivotStyle="PivotStyleLight16">
    <tableStyle name="Table Style 1" pivot="0" count="0" xr9:uid="{E77C9A73-002C-4103-9E78-E05E00516AA2}"/>
    <tableStyle name="Table Style 2" pivot="0" count="1" xr9:uid="{695F8FCC-F09B-4F10-9DB1-5B01CCCA3CE7}">
      <tableStyleElement type="wholeTable" dxfId="32"/>
    </tableStyle>
  </tableStyles>
  <colors>
    <mruColors>
      <color rgb="FF1F2427"/>
      <color rgb="FF00C2A8"/>
      <color rgb="FF0D2D43"/>
      <color rgb="FF25273C"/>
      <color rgb="FF1F3D2B"/>
      <color rgb="FF2ECC71"/>
      <color rgb="FFFFFFFF"/>
      <color rgb="FF4D96FF"/>
      <color rgb="FFCC99FF"/>
      <color rgb="FF4D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rgbClr val="FFFFFF"/>
                </a:solidFill>
              </a:rPr>
              <a:t>Financial Mgt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rgbClr val="FFFFFF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4D99FF"/>
            </a:solidFill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4D96FF"/>
              </a:solidFill>
              <a:ln>
                <a:solidFill>
                  <a:schemeClr val="bg1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BA0-4577-AC28-4DDAAEC90961}"/>
              </c:ext>
            </c:extLst>
          </c:dPt>
          <c:dPt>
            <c:idx val="1"/>
            <c:bubble3D val="0"/>
            <c:spPr>
              <a:solidFill>
                <a:srgbClr val="00C2A8"/>
              </a:solidFill>
              <a:ln>
                <a:solidFill>
                  <a:schemeClr val="bg1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BA0-4577-AC28-4DDAAEC9096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Overview!$D$3:$E$3</c:f>
              <c:strCache>
                <c:ptCount val="2"/>
                <c:pt idx="0">
                  <c:v>Watched</c:v>
                </c:pt>
                <c:pt idx="1">
                  <c:v>Remain</c:v>
                </c:pt>
              </c:strCache>
            </c:strRef>
          </c:cat>
          <c:val>
            <c:numRef>
              <c:f>Overview!$D$8:$E$8</c:f>
              <c:numCache>
                <c:formatCode>General</c:formatCode>
                <c:ptCount val="2"/>
                <c:pt idx="0">
                  <c:v>10.5</c:v>
                </c:pt>
                <c:pt idx="1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32B-4226-9BFA-0169FA963AC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7CED7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D2D43"/>
    </a:solidFill>
    <a:ln w="9525" cap="flat" cmpd="sng" algn="ctr">
      <a:noFill/>
      <a:round/>
    </a:ln>
    <a:effectLst>
      <a:outerShdw blurRad="190500" sx="102000" sy="102000" algn="ctr" rotWithShape="0">
        <a:prstClr val="black">
          <a:alpha val="40000"/>
        </a:prstClr>
      </a:outerShdw>
    </a:effectLst>
    <a:scene3d>
      <a:camera prst="orthographicFront"/>
      <a:lightRig rig="threePt" dir="t"/>
    </a:scene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rgbClr val="FFFFFF"/>
                </a:solidFill>
              </a:rPr>
              <a:t>Org_nl Behaviour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rgbClr val="FFFFFF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4D96FF"/>
              </a:solidFill>
              <a:ln>
                <a:solidFill>
                  <a:schemeClr val="bg1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F1B-4C88-8AD0-F43574B7E9C5}"/>
              </c:ext>
            </c:extLst>
          </c:dPt>
          <c:dPt>
            <c:idx val="1"/>
            <c:bubble3D val="0"/>
            <c:spPr>
              <a:solidFill>
                <a:srgbClr val="00C2A8"/>
              </a:solidFill>
              <a:ln>
                <a:solidFill>
                  <a:schemeClr val="bg1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F1B-4C88-8AD0-F43574B7E9C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Overview!$D$3:$E$3</c:f>
              <c:strCache>
                <c:ptCount val="2"/>
                <c:pt idx="0">
                  <c:v>Watched</c:v>
                </c:pt>
                <c:pt idx="1">
                  <c:v>Remain</c:v>
                </c:pt>
              </c:strCache>
            </c:strRef>
          </c:cat>
          <c:val>
            <c:numRef>
              <c:f>Overview!$D$9:$E$9</c:f>
              <c:numCache>
                <c:formatCode>General</c:formatCode>
                <c:ptCount val="2"/>
                <c:pt idx="0">
                  <c:v>3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1B-4C88-8AD0-F43574B7E9C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7CED7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D2D43"/>
    </a:solidFill>
    <a:ln w="9525" cap="flat" cmpd="sng" algn="ctr">
      <a:noFill/>
      <a:round/>
    </a:ln>
    <a:effectLst>
      <a:outerShdw blurRad="190500" sx="102000" sy="102000" algn="ctr" rotWithShape="0">
        <a:prstClr val="black">
          <a:alpha val="40000"/>
        </a:prstClr>
      </a:outerShdw>
    </a:effectLst>
    <a:scene3d>
      <a:camera prst="orthographicFront"/>
      <a:lightRig rig="threePt" dir="t"/>
    </a:scene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rgbClr val="FFFFFF"/>
                </a:solidFill>
              </a:rPr>
              <a:t>HRM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rgbClr val="FFFFFF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4D96FF"/>
              </a:solidFill>
              <a:ln>
                <a:solidFill>
                  <a:schemeClr val="bg1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54D-475C-87E2-426EBF9D93C7}"/>
              </c:ext>
            </c:extLst>
          </c:dPt>
          <c:dPt>
            <c:idx val="1"/>
            <c:bubble3D val="0"/>
            <c:spPr>
              <a:solidFill>
                <a:srgbClr val="00C2A8"/>
              </a:solidFill>
              <a:ln>
                <a:solidFill>
                  <a:schemeClr val="bg1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54D-475C-87E2-426EBF9D93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Overview!$D$3:$E$3</c:f>
              <c:strCache>
                <c:ptCount val="2"/>
                <c:pt idx="0">
                  <c:v>Watched</c:v>
                </c:pt>
                <c:pt idx="1">
                  <c:v>Remain</c:v>
                </c:pt>
              </c:strCache>
            </c:strRef>
          </c:cat>
          <c:val>
            <c:numRef>
              <c:f>Overview!$D$10:$E$10</c:f>
              <c:numCache>
                <c:formatCode>General</c:formatCode>
                <c:ptCount val="2"/>
                <c:pt idx="0">
                  <c:v>7.5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4D-475C-87E2-426EBF9D93C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7CED7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D2D43"/>
    </a:solidFill>
    <a:ln w="19050" cap="flat" cmpd="sng" algn="ctr">
      <a:noFill/>
      <a:round/>
    </a:ln>
    <a:effectLst>
      <a:outerShdw blurRad="190500" sx="102000" sy="102000" algn="ctr" rotWithShape="0">
        <a:prstClr val="black">
          <a:alpha val="40000"/>
        </a:prstClr>
      </a:outerShdw>
    </a:effectLst>
    <a:scene3d>
      <a:camera prst="orthographicFront"/>
      <a:lightRig rig="threePt" dir="t"/>
    </a:scene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0"/>
          <a:lstStyle/>
          <a:p>
            <a:pPr>
              <a:defRPr sz="1200" b="1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rgbClr val="FFFFFF"/>
                </a:solidFill>
              </a:rPr>
              <a:t>Marketing</a:t>
            </a:r>
            <a:r>
              <a:rPr lang="en-US" sz="1200" baseline="0">
                <a:solidFill>
                  <a:srgbClr val="FFFFFF"/>
                </a:solidFill>
              </a:rPr>
              <a:t> </a:t>
            </a:r>
            <a:r>
              <a:rPr lang="en-US" sz="1200">
                <a:solidFill>
                  <a:srgbClr val="FFFFFF"/>
                </a:solidFill>
              </a:rPr>
              <a:t>Mgt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0"/>
        <a:lstStyle/>
        <a:p>
          <a:pPr>
            <a:defRPr sz="1200" b="1" i="0" u="none" strike="noStrike" kern="1200" baseline="0">
              <a:solidFill>
                <a:srgbClr val="FFFFFF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4D99FF"/>
            </a:solidFill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4D96FF"/>
              </a:solidFill>
              <a:ln>
                <a:solidFill>
                  <a:schemeClr val="bg1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BE6-4B80-8C32-A3785E0362F0}"/>
              </c:ext>
            </c:extLst>
          </c:dPt>
          <c:dPt>
            <c:idx val="1"/>
            <c:bubble3D val="0"/>
            <c:spPr>
              <a:solidFill>
                <a:srgbClr val="00C2A8"/>
              </a:solidFill>
              <a:ln>
                <a:solidFill>
                  <a:schemeClr val="bg1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BE6-4B80-8C32-A3785E0362F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Overview!$D$3:$E$3</c:f>
              <c:strCache>
                <c:ptCount val="2"/>
                <c:pt idx="0">
                  <c:v>Watched</c:v>
                </c:pt>
                <c:pt idx="1">
                  <c:v>Remain</c:v>
                </c:pt>
              </c:strCache>
            </c:strRef>
          </c:cat>
          <c:val>
            <c:numRef>
              <c:f>Overview!$D$4:$E$4</c:f>
              <c:numCache>
                <c:formatCode>General</c:formatCode>
                <c:ptCount val="2"/>
                <c:pt idx="0">
                  <c:v>6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E6-4B80-8C32-A3785E0362F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7CED7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D2D43"/>
    </a:solidFill>
    <a:ln w="9525" cap="flat" cmpd="sng" algn="ctr">
      <a:noFill/>
      <a:round/>
    </a:ln>
    <a:effectLst>
      <a:outerShdw blurRad="190500" sx="102000" sy="102000" algn="ctr" rotWithShape="0">
        <a:prstClr val="black">
          <a:alpha val="40000"/>
        </a:prstClr>
      </a:outerShdw>
    </a:effectLst>
    <a:scene3d>
      <a:camera prst="orthographicFront"/>
      <a:lightRig rig="threePt" dir="t"/>
    </a:scene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rgbClr val="FFFFFF"/>
                </a:solidFill>
              </a:rPr>
              <a:t>Business Law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rgbClr val="FFFFFF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4D96FF"/>
              </a:solidFill>
              <a:ln>
                <a:solidFill>
                  <a:schemeClr val="bg1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191-4495-AB02-F944BAA8DE1C}"/>
              </c:ext>
            </c:extLst>
          </c:dPt>
          <c:dPt>
            <c:idx val="1"/>
            <c:bubble3D val="0"/>
            <c:spPr>
              <a:solidFill>
                <a:srgbClr val="00C2A8"/>
              </a:solidFill>
              <a:ln>
                <a:solidFill>
                  <a:schemeClr val="bg1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191-4495-AB02-F944BAA8DE1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Overview!$D$3:$E$3</c:f>
              <c:strCache>
                <c:ptCount val="2"/>
                <c:pt idx="0">
                  <c:v>Watched</c:v>
                </c:pt>
                <c:pt idx="1">
                  <c:v>Remain</c:v>
                </c:pt>
              </c:strCache>
            </c:strRef>
          </c:cat>
          <c:val>
            <c:numRef>
              <c:f>Overview!$D$5:$E$5</c:f>
              <c:numCache>
                <c:formatCode>General</c:formatCode>
                <c:ptCount val="2"/>
                <c:pt idx="0">
                  <c:v>6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91-4495-AB02-F944BAA8DE1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7CED7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D2D43"/>
    </a:solidFill>
    <a:ln w="9525" cap="flat" cmpd="sng" algn="ctr">
      <a:noFill/>
      <a:round/>
    </a:ln>
    <a:effectLst>
      <a:outerShdw blurRad="190500" sx="102000" sy="102000" algn="ctr" rotWithShape="0">
        <a:prstClr val="black">
          <a:alpha val="40000"/>
        </a:prstClr>
      </a:outerShdw>
    </a:effectLst>
    <a:scene3d>
      <a:camera prst="orthographicFront"/>
      <a:lightRig rig="threePt" dir="t"/>
    </a:scene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rgbClr val="FFFFFF"/>
                </a:solidFill>
              </a:rPr>
              <a:t>Operation Mgt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rgbClr val="FFFFFF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CC99FF"/>
            </a:solidFill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4D96FF"/>
              </a:solidFill>
              <a:ln>
                <a:solidFill>
                  <a:schemeClr val="bg1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29B-4387-83AB-3461FB0AD68B}"/>
              </c:ext>
            </c:extLst>
          </c:dPt>
          <c:dPt>
            <c:idx val="1"/>
            <c:bubble3D val="0"/>
            <c:spPr>
              <a:solidFill>
                <a:srgbClr val="00C2A8"/>
              </a:solidFill>
              <a:ln>
                <a:solidFill>
                  <a:schemeClr val="bg1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29B-4387-83AB-3461FB0AD68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Overview!$D$3:$E$3</c:f>
              <c:strCache>
                <c:ptCount val="2"/>
                <c:pt idx="0">
                  <c:v>Watched</c:v>
                </c:pt>
                <c:pt idx="1">
                  <c:v>Remain</c:v>
                </c:pt>
              </c:strCache>
            </c:strRef>
          </c:cat>
          <c:val>
            <c:numRef>
              <c:f>Overview!$D$6:$E$6</c:f>
              <c:numCache>
                <c:formatCode>General</c:formatCode>
                <c:ptCount val="2"/>
                <c:pt idx="0">
                  <c:v>2</c:v>
                </c:pt>
                <c:pt idx="1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29B-4387-83AB-3461FB0AD68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7CED7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D2D43"/>
    </a:solidFill>
    <a:ln w="9525" cap="flat" cmpd="sng" algn="ctr">
      <a:noFill/>
      <a:round/>
    </a:ln>
    <a:effectLst>
      <a:outerShdw blurRad="190500" sx="102000" sy="102000" algn="ctr" rotWithShape="0">
        <a:prstClr val="black">
          <a:alpha val="40000"/>
        </a:prstClr>
      </a:outerShdw>
    </a:effectLst>
    <a:scene3d>
      <a:camera prst="orthographicFront"/>
      <a:lightRig rig="threePt" dir="t"/>
    </a:scene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rgbClr val="FFFFFF"/>
                </a:solidFill>
              </a:rPr>
              <a:t>Cost &amp; Mgt Accounting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rgbClr val="FFFFFF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solidFill>
              <a:srgbClr val="CC99FF"/>
            </a:solidFill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4D96FF"/>
              </a:solidFill>
              <a:ln>
                <a:solidFill>
                  <a:schemeClr val="bg1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DED-4508-B119-641C77B8C59F}"/>
              </c:ext>
            </c:extLst>
          </c:dPt>
          <c:dPt>
            <c:idx val="1"/>
            <c:bubble3D val="0"/>
            <c:spPr>
              <a:solidFill>
                <a:srgbClr val="00C2A8"/>
              </a:solidFill>
              <a:ln>
                <a:solidFill>
                  <a:schemeClr val="bg1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DED-4508-B119-641C77B8C59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Overview!$D$3:$E$3</c:f>
              <c:strCache>
                <c:ptCount val="2"/>
                <c:pt idx="0">
                  <c:v>Watched</c:v>
                </c:pt>
                <c:pt idx="1">
                  <c:v>Remain</c:v>
                </c:pt>
              </c:strCache>
            </c:strRef>
          </c:cat>
          <c:val>
            <c:numRef>
              <c:f>Overview!$D$7:$E$7</c:f>
              <c:numCache>
                <c:formatCode>General</c:formatCode>
                <c:ptCount val="2"/>
                <c:pt idx="0">
                  <c:v>3</c:v>
                </c:pt>
                <c:pt idx="1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DED-4508-B119-641C77B8C59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7CED7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D2D43"/>
    </a:solidFill>
    <a:ln w="9525" cap="flat" cmpd="sng" algn="ctr">
      <a:noFill/>
      <a:round/>
    </a:ln>
    <a:effectLst>
      <a:outerShdw blurRad="190500" sx="102000" sy="102000" algn="ctr" rotWithShape="0">
        <a:prstClr val="black">
          <a:alpha val="40000"/>
        </a:prstClr>
      </a:outerShdw>
    </a:effectLst>
    <a:scene3d>
      <a:camera prst="orthographicFront"/>
      <a:lightRig rig="threePt" dir="t"/>
    </a:scene3d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rgbClr val="FFFFFF"/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solidFill>
                  <a:srgbClr val="FFFFFF"/>
                </a:solidFill>
              </a:rPr>
              <a:t>Overall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rgbClr val="FFFFFF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spPr>
            <a:ln>
              <a:solidFill>
                <a:schemeClr val="bg1"/>
              </a:solidFill>
            </a:ln>
          </c:spPr>
          <c:dPt>
            <c:idx val="0"/>
            <c:bubble3D val="0"/>
            <c:spPr>
              <a:solidFill>
                <a:srgbClr val="4D96FF"/>
              </a:solidFill>
              <a:ln>
                <a:solidFill>
                  <a:schemeClr val="bg1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2D9-4C3C-AC3A-4874AA193B1A}"/>
              </c:ext>
            </c:extLst>
          </c:dPt>
          <c:dPt>
            <c:idx val="1"/>
            <c:bubble3D val="0"/>
            <c:spPr>
              <a:solidFill>
                <a:srgbClr val="00C2A8"/>
              </a:solidFill>
              <a:ln>
                <a:solidFill>
                  <a:schemeClr val="bg1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2D9-4C3C-AC3A-4874AA193B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85000"/>
                      </a:schemeClr>
                    </a:solidFill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Overview!$D$3:$E$3</c:f>
              <c:strCache>
                <c:ptCount val="2"/>
                <c:pt idx="0">
                  <c:v>Watched</c:v>
                </c:pt>
                <c:pt idx="1">
                  <c:v>Remain</c:v>
                </c:pt>
              </c:strCache>
            </c:strRef>
          </c:cat>
          <c:val>
            <c:numRef>
              <c:f>Overview!$D$11:$E$11</c:f>
              <c:numCache>
                <c:formatCode>General</c:formatCode>
                <c:ptCount val="2"/>
                <c:pt idx="0">
                  <c:v>38</c:v>
                </c:pt>
                <c:pt idx="1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D9-4C3C-AC3A-4874AA193B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rgbClr val="27CED7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0D2D43"/>
    </a:solidFill>
    <a:ln w="9525" cap="flat" cmpd="sng" algn="ctr">
      <a:noFill/>
      <a:round/>
    </a:ln>
    <a:effectLst>
      <a:outerShdw blurRad="190500" sx="102000" sy="102000" algn="ctr" rotWithShape="0">
        <a:prstClr val="black">
          <a:alpha val="40000"/>
        </a:prstClr>
      </a:outerShdw>
    </a:effectLst>
    <a:scene3d>
      <a:camera prst="orthographicFront"/>
      <a:lightRig rig="threePt" dir="t"/>
    </a:scene3d>
    <a:sp3d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image" Target="../media/image3.sv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10</xdr:row>
          <xdr:rowOff>99060</xdr:rowOff>
        </xdr:from>
        <xdr:to>
          <xdr:col>8</xdr:col>
          <xdr:colOff>365760</xdr:colOff>
          <xdr:row>12</xdr:row>
          <xdr:rowOff>91440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274159</xdr:colOff>
      <xdr:row>3</xdr:row>
      <xdr:rowOff>167640</xdr:rowOff>
    </xdr:from>
    <xdr:to>
      <xdr:col>8</xdr:col>
      <xdr:colOff>179450</xdr:colOff>
      <xdr:row>8</xdr:row>
      <xdr:rowOff>190501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1F2C2D5-FD66-E041-4AAA-38B264980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24939" y="1005840"/>
          <a:ext cx="1124491" cy="1028701"/>
        </a:xfrm>
        <a:prstGeom prst="rect">
          <a:avLst/>
        </a:prstGeom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312420</xdr:colOff>
      <xdr:row>15</xdr:row>
      <xdr:rowOff>53340</xdr:rowOff>
    </xdr:from>
    <xdr:to>
      <xdr:col>15</xdr:col>
      <xdr:colOff>95250</xdr:colOff>
      <xdr:row>25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838EB3-7069-A519-B0D7-ED743B4D65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15</xdr:row>
      <xdr:rowOff>45720</xdr:rowOff>
    </xdr:from>
    <xdr:to>
      <xdr:col>2</xdr:col>
      <xdr:colOff>224790</xdr:colOff>
      <xdr:row>25</xdr:row>
      <xdr:rowOff>91440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0344D0D-5384-4C03-878A-BC37DAF9CE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148590</xdr:colOff>
      <xdr:row>15</xdr:row>
      <xdr:rowOff>53340</xdr:rowOff>
    </xdr:from>
    <xdr:to>
      <xdr:col>16</xdr:col>
      <xdr:colOff>575310</xdr:colOff>
      <xdr:row>25</xdr:row>
      <xdr:rowOff>99060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9167845-326E-469A-8D0E-14501D6BCD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259080</xdr:colOff>
      <xdr:row>15</xdr:row>
      <xdr:rowOff>45720</xdr:rowOff>
    </xdr:from>
    <xdr:to>
      <xdr:col>5</xdr:col>
      <xdr:colOff>125730</xdr:colOff>
      <xdr:row>25</xdr:row>
      <xdr:rowOff>91440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D53F3F08-C89A-4A34-A372-F1C74D94E6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171450</xdr:colOff>
      <xdr:row>15</xdr:row>
      <xdr:rowOff>45720</xdr:rowOff>
    </xdr:from>
    <xdr:to>
      <xdr:col>8</xdr:col>
      <xdr:colOff>167640</xdr:colOff>
      <xdr:row>25</xdr:row>
      <xdr:rowOff>91440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E83960B-780C-4CC7-A439-E5FC63BBF5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205740</xdr:colOff>
      <xdr:row>15</xdr:row>
      <xdr:rowOff>38100</xdr:rowOff>
    </xdr:from>
    <xdr:to>
      <xdr:col>9</xdr:col>
      <xdr:colOff>681990</xdr:colOff>
      <xdr:row>25</xdr:row>
      <xdr:rowOff>83820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0D80561-E9D4-4C42-89D1-38E1DA1717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735330</xdr:colOff>
      <xdr:row>15</xdr:row>
      <xdr:rowOff>45720</xdr:rowOff>
    </xdr:from>
    <xdr:to>
      <xdr:col>12</xdr:col>
      <xdr:colOff>270510</xdr:colOff>
      <xdr:row>25</xdr:row>
      <xdr:rowOff>91440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25B3B984-0326-435B-8268-E37A49D3F8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762000</xdr:colOff>
      <xdr:row>2</xdr:row>
      <xdr:rowOff>60960</xdr:rowOff>
    </xdr:from>
    <xdr:to>
      <xdr:col>12</xdr:col>
      <xdr:colOff>45720</xdr:colOff>
      <xdr:row>4</xdr:row>
      <xdr:rowOff>22860</xdr:rowOff>
    </xdr:to>
    <xdr:sp macro="" textlink="E4">
      <xdr:nvSpPr>
        <xdr:cNvPr id="5" name="TextBox 4">
          <a:extLst>
            <a:ext uri="{FF2B5EF4-FFF2-40B4-BE49-F238E27FC236}">
              <a16:creationId xmlns:a16="http://schemas.microsoft.com/office/drawing/2014/main" id="{C32BE501-F106-82BE-4C09-985246EAF867}"/>
            </a:ext>
          </a:extLst>
        </xdr:cNvPr>
        <xdr:cNvSpPr txBox="1"/>
      </xdr:nvSpPr>
      <xdr:spPr>
        <a:xfrm>
          <a:off x="8953500" y="426720"/>
          <a:ext cx="1470660" cy="327660"/>
        </a:xfrm>
        <a:prstGeom prst="rect">
          <a:avLst/>
        </a:prstGeom>
        <a:solidFill>
          <a:srgbClr val="2ECC71"/>
        </a:solidFill>
        <a:ln w="9525" cmpd="sng">
          <a:noFill/>
        </a:ln>
        <a:effectLst>
          <a:outerShdw blurRad="19050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AD0207-1201-47ED-8A0C-F29C049808E9}" type="TxLink">
            <a:rPr lang="en-US" sz="1800" b="1" i="1" u="none" strike="noStrike">
              <a:solidFill>
                <a:srgbClr val="00206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ea typeface="Calibri"/>
              <a:cs typeface="Calibri"/>
            </a:rPr>
            <a:pPr algn="ctr"/>
            <a:t>3</a:t>
          </a:fld>
          <a:endParaRPr lang="en-US" sz="2400" b="1" i="1">
            <a:solidFill>
              <a:srgbClr val="00206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13</xdr:col>
      <xdr:colOff>7620</xdr:colOff>
      <xdr:row>2</xdr:row>
      <xdr:rowOff>60960</xdr:rowOff>
    </xdr:from>
    <xdr:to>
      <xdr:col>14</xdr:col>
      <xdr:colOff>45720</xdr:colOff>
      <xdr:row>4</xdr:row>
      <xdr:rowOff>22860</xdr:rowOff>
    </xdr:to>
    <xdr:sp macro="" textlink="E5">
      <xdr:nvSpPr>
        <xdr:cNvPr id="12" name="TextBox 11">
          <a:extLst>
            <a:ext uri="{FF2B5EF4-FFF2-40B4-BE49-F238E27FC236}">
              <a16:creationId xmlns:a16="http://schemas.microsoft.com/office/drawing/2014/main" id="{0A533C27-B4C1-43C2-BF3B-4F3B28FEE9CA}"/>
            </a:ext>
          </a:extLst>
        </xdr:cNvPr>
        <xdr:cNvSpPr txBox="1"/>
      </xdr:nvSpPr>
      <xdr:spPr>
        <a:xfrm>
          <a:off x="10736580" y="426720"/>
          <a:ext cx="1531620" cy="327660"/>
        </a:xfrm>
        <a:prstGeom prst="rect">
          <a:avLst/>
        </a:prstGeom>
        <a:solidFill>
          <a:srgbClr val="2ECC71"/>
        </a:solidFill>
        <a:ln w="9525" cmpd="sng">
          <a:noFill/>
        </a:ln>
        <a:effectLst>
          <a:outerShdw blurRad="19050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E19BBC-FD05-4B5D-A017-0BC119BE55F3}" type="TxLink">
            <a:rPr lang="en-US" sz="1800" b="1" i="1" u="none" strike="noStrike">
              <a:solidFill>
                <a:srgbClr val="00206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ea typeface="Calibri"/>
              <a:cs typeface="Calibri"/>
            </a:rPr>
            <a:pPr algn="ctr"/>
            <a:t>3</a:t>
          </a:fld>
          <a:endParaRPr lang="en-US" sz="4000" b="1" i="1">
            <a:solidFill>
              <a:srgbClr val="00206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10</xdr:col>
      <xdr:colOff>762000</xdr:colOff>
      <xdr:row>6</xdr:row>
      <xdr:rowOff>99060</xdr:rowOff>
    </xdr:from>
    <xdr:to>
      <xdr:col>12</xdr:col>
      <xdr:colOff>45720</xdr:colOff>
      <xdr:row>8</xdr:row>
      <xdr:rowOff>60960</xdr:rowOff>
    </xdr:to>
    <xdr:sp macro="" textlink="E7">
      <xdr:nvSpPr>
        <xdr:cNvPr id="13" name="TextBox 12">
          <a:extLst>
            <a:ext uri="{FF2B5EF4-FFF2-40B4-BE49-F238E27FC236}">
              <a16:creationId xmlns:a16="http://schemas.microsoft.com/office/drawing/2014/main" id="{4AAB04EF-0363-4757-9F40-CC1B39B8F6BC}"/>
            </a:ext>
          </a:extLst>
        </xdr:cNvPr>
        <xdr:cNvSpPr txBox="1"/>
      </xdr:nvSpPr>
      <xdr:spPr>
        <a:xfrm>
          <a:off x="8953500" y="1196340"/>
          <a:ext cx="1470660" cy="327660"/>
        </a:xfrm>
        <a:prstGeom prst="rect">
          <a:avLst/>
        </a:prstGeom>
        <a:solidFill>
          <a:srgbClr val="2ECC71"/>
        </a:solidFill>
        <a:ln w="9525" cmpd="sng">
          <a:noFill/>
        </a:ln>
        <a:effectLst>
          <a:outerShdw blurRad="19050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68C1C7B-E154-4143-922A-9080DDFE5FE8}" type="TxLink">
            <a:rPr lang="en-US" sz="1800" b="1" i="1" u="none" strike="noStrike">
              <a:solidFill>
                <a:srgbClr val="00206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ea typeface="Calibri"/>
              <a:cs typeface="Calibri"/>
            </a:rPr>
            <a:pPr algn="ctr"/>
            <a:t>6</a:t>
          </a:fld>
          <a:endParaRPr lang="en-US" sz="4000" b="1" i="1">
            <a:solidFill>
              <a:srgbClr val="00206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13</xdr:col>
      <xdr:colOff>7620</xdr:colOff>
      <xdr:row>6</xdr:row>
      <xdr:rowOff>99060</xdr:rowOff>
    </xdr:from>
    <xdr:to>
      <xdr:col>13</xdr:col>
      <xdr:colOff>1478280</xdr:colOff>
      <xdr:row>8</xdr:row>
      <xdr:rowOff>60960</xdr:rowOff>
    </xdr:to>
    <xdr:sp macro="" textlink="E8">
      <xdr:nvSpPr>
        <xdr:cNvPr id="14" name="TextBox 13">
          <a:extLst>
            <a:ext uri="{FF2B5EF4-FFF2-40B4-BE49-F238E27FC236}">
              <a16:creationId xmlns:a16="http://schemas.microsoft.com/office/drawing/2014/main" id="{26C07DEB-3312-429A-BAAD-4C321AE20705}"/>
            </a:ext>
          </a:extLst>
        </xdr:cNvPr>
        <xdr:cNvSpPr txBox="1"/>
      </xdr:nvSpPr>
      <xdr:spPr>
        <a:xfrm>
          <a:off x="10736580" y="1196340"/>
          <a:ext cx="1470660" cy="327660"/>
        </a:xfrm>
        <a:prstGeom prst="rect">
          <a:avLst/>
        </a:prstGeom>
        <a:solidFill>
          <a:srgbClr val="2ECC71"/>
        </a:solidFill>
        <a:ln w="9525" cmpd="sng">
          <a:noFill/>
        </a:ln>
        <a:effectLst>
          <a:outerShdw blurRad="19050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E7F11FC-7CB3-4542-8AA4-4EB5CEEB0FC0}" type="TxLink">
            <a:rPr lang="en-US" sz="1800" b="1" i="1" u="none" strike="noStrike">
              <a:solidFill>
                <a:srgbClr val="00206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ea typeface="Calibri"/>
              <a:cs typeface="Calibri"/>
            </a:rPr>
            <a:pPr algn="ctr"/>
            <a:t>4.5</a:t>
          </a:fld>
          <a:endParaRPr lang="en-US" sz="4000" b="1" i="1">
            <a:solidFill>
              <a:srgbClr val="00206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10</xdr:col>
      <xdr:colOff>762000</xdr:colOff>
      <xdr:row>10</xdr:row>
      <xdr:rowOff>91440</xdr:rowOff>
    </xdr:from>
    <xdr:to>
      <xdr:col>12</xdr:col>
      <xdr:colOff>45720</xdr:colOff>
      <xdr:row>12</xdr:row>
      <xdr:rowOff>53340</xdr:rowOff>
    </xdr:to>
    <xdr:sp macro="" textlink="E10">
      <xdr:nvSpPr>
        <xdr:cNvPr id="15" name="TextBox 14">
          <a:extLst>
            <a:ext uri="{FF2B5EF4-FFF2-40B4-BE49-F238E27FC236}">
              <a16:creationId xmlns:a16="http://schemas.microsoft.com/office/drawing/2014/main" id="{4C44AAD2-9616-4FE3-87FF-2C5A66B39592}"/>
            </a:ext>
          </a:extLst>
        </xdr:cNvPr>
        <xdr:cNvSpPr txBox="1"/>
      </xdr:nvSpPr>
      <xdr:spPr>
        <a:xfrm>
          <a:off x="8953500" y="1920240"/>
          <a:ext cx="1470660" cy="327660"/>
        </a:xfrm>
        <a:prstGeom prst="rect">
          <a:avLst/>
        </a:prstGeom>
        <a:solidFill>
          <a:srgbClr val="2ECC71"/>
        </a:solidFill>
        <a:ln w="9525" cmpd="sng">
          <a:noFill/>
        </a:ln>
        <a:effectLst>
          <a:outerShdw blurRad="19050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B98A9AF-C2FC-4CF2-93D0-9E240104F23C}" type="TxLink">
            <a:rPr lang="en-US" sz="1800" b="1" i="1" u="none" strike="noStrike">
              <a:solidFill>
                <a:srgbClr val="00206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ea typeface="Calibri"/>
              <a:cs typeface="Calibri"/>
            </a:rPr>
            <a:pPr algn="ctr"/>
            <a:t>2</a:t>
          </a:fld>
          <a:endParaRPr lang="en-US" sz="4000" b="1" i="1">
            <a:solidFill>
              <a:srgbClr val="00206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13</xdr:col>
      <xdr:colOff>7620</xdr:colOff>
      <xdr:row>10</xdr:row>
      <xdr:rowOff>91440</xdr:rowOff>
    </xdr:from>
    <xdr:to>
      <xdr:col>13</xdr:col>
      <xdr:colOff>1478280</xdr:colOff>
      <xdr:row>12</xdr:row>
      <xdr:rowOff>53340</xdr:rowOff>
    </xdr:to>
    <xdr:sp macro="" textlink="E11">
      <xdr:nvSpPr>
        <xdr:cNvPr id="16" name="TextBox 15">
          <a:extLst>
            <a:ext uri="{FF2B5EF4-FFF2-40B4-BE49-F238E27FC236}">
              <a16:creationId xmlns:a16="http://schemas.microsoft.com/office/drawing/2014/main" id="{C9D64EE6-0BED-4AFB-A1DA-BF8852653F11}"/>
            </a:ext>
          </a:extLst>
        </xdr:cNvPr>
        <xdr:cNvSpPr txBox="1"/>
      </xdr:nvSpPr>
      <xdr:spPr>
        <a:xfrm>
          <a:off x="10736580" y="1920240"/>
          <a:ext cx="1470660" cy="327660"/>
        </a:xfrm>
        <a:prstGeom prst="rect">
          <a:avLst/>
        </a:prstGeom>
        <a:solidFill>
          <a:schemeClr val="accent2"/>
        </a:solidFill>
        <a:ln w="9525" cmpd="sng">
          <a:noFill/>
        </a:ln>
        <a:effectLst>
          <a:outerShdw blurRad="19050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8E366D-C2B2-4D42-B60E-5EB91B736C53}" type="TxLink">
            <a:rPr lang="en-US" sz="1800" b="1" i="1" u="none" strike="noStrike">
              <a:solidFill>
                <a:srgbClr val="00206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ea typeface="Calibri"/>
              <a:cs typeface="Calibri"/>
            </a:rPr>
            <a:pPr algn="ctr"/>
            <a:t>25</a:t>
          </a:fld>
          <a:endParaRPr lang="en-US" sz="4000" b="1" i="1">
            <a:solidFill>
              <a:srgbClr val="00206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15</xdr:col>
      <xdr:colOff>15240</xdr:colOff>
      <xdr:row>2</xdr:row>
      <xdr:rowOff>60960</xdr:rowOff>
    </xdr:from>
    <xdr:to>
      <xdr:col>15</xdr:col>
      <xdr:colOff>1485900</xdr:colOff>
      <xdr:row>4</xdr:row>
      <xdr:rowOff>22860</xdr:rowOff>
    </xdr:to>
    <xdr:sp macro="" textlink="E6">
      <xdr:nvSpPr>
        <xdr:cNvPr id="17" name="TextBox 16">
          <a:extLst>
            <a:ext uri="{FF2B5EF4-FFF2-40B4-BE49-F238E27FC236}">
              <a16:creationId xmlns:a16="http://schemas.microsoft.com/office/drawing/2014/main" id="{ADC8A8E7-8C27-49FE-9920-96EC98D7A683}"/>
            </a:ext>
          </a:extLst>
        </xdr:cNvPr>
        <xdr:cNvSpPr txBox="1"/>
      </xdr:nvSpPr>
      <xdr:spPr>
        <a:xfrm>
          <a:off x="12580620" y="426720"/>
          <a:ext cx="1470660" cy="327660"/>
        </a:xfrm>
        <a:prstGeom prst="rect">
          <a:avLst/>
        </a:prstGeom>
        <a:solidFill>
          <a:srgbClr val="2ECC71"/>
        </a:solidFill>
        <a:ln w="9525" cmpd="sng">
          <a:noFill/>
        </a:ln>
        <a:effectLst>
          <a:outerShdw blurRad="19050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4644657-7384-4FC7-98F3-7F1307BDE086}" type="TxLink">
            <a:rPr lang="en-US" sz="1800" b="1" i="1" u="none" strike="noStrike">
              <a:solidFill>
                <a:srgbClr val="00206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ea typeface="Calibri"/>
              <a:cs typeface="Calibri"/>
            </a:rPr>
            <a:pPr algn="ctr"/>
            <a:t>3.5</a:t>
          </a:fld>
          <a:endParaRPr lang="en-US" sz="4000" b="1" i="1">
            <a:solidFill>
              <a:srgbClr val="00206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15</xdr:col>
      <xdr:colOff>15240</xdr:colOff>
      <xdr:row>6</xdr:row>
      <xdr:rowOff>99060</xdr:rowOff>
    </xdr:from>
    <xdr:to>
      <xdr:col>15</xdr:col>
      <xdr:colOff>1485900</xdr:colOff>
      <xdr:row>8</xdr:row>
      <xdr:rowOff>60960</xdr:rowOff>
    </xdr:to>
    <xdr:sp macro="" textlink="E9">
      <xdr:nvSpPr>
        <xdr:cNvPr id="18" name="TextBox 17">
          <a:extLst>
            <a:ext uri="{FF2B5EF4-FFF2-40B4-BE49-F238E27FC236}">
              <a16:creationId xmlns:a16="http://schemas.microsoft.com/office/drawing/2014/main" id="{D1BCFD4C-CF04-4428-92FB-9C0E1739739B}"/>
            </a:ext>
          </a:extLst>
        </xdr:cNvPr>
        <xdr:cNvSpPr txBox="1"/>
      </xdr:nvSpPr>
      <xdr:spPr>
        <a:xfrm>
          <a:off x="12580620" y="1196340"/>
          <a:ext cx="1470660" cy="327660"/>
        </a:xfrm>
        <a:prstGeom prst="rect">
          <a:avLst/>
        </a:prstGeom>
        <a:solidFill>
          <a:srgbClr val="2ECC71"/>
        </a:solidFill>
        <a:ln w="9525" cmpd="sng">
          <a:noFill/>
        </a:ln>
        <a:effectLst>
          <a:outerShdw blurRad="19050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30D9815-EEA2-449C-8A5D-705101805956}" type="TxLink">
            <a:rPr lang="en-US" sz="1800" b="1" i="1" u="none" strike="noStrike">
              <a:solidFill>
                <a:srgbClr val="00206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ea typeface="Calibri"/>
              <a:cs typeface="Calibri"/>
            </a:rPr>
            <a:pPr algn="ctr"/>
            <a:t>3</a:t>
          </a:fld>
          <a:endParaRPr lang="en-US" sz="4000" b="1" i="1">
            <a:solidFill>
              <a:srgbClr val="00206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0</xdr:col>
      <xdr:colOff>91440</xdr:colOff>
      <xdr:row>1</xdr:row>
      <xdr:rowOff>7620</xdr:rowOff>
    </xdr:from>
    <xdr:to>
      <xdr:col>6</xdr:col>
      <xdr:colOff>182880</xdr:colOff>
      <xdr:row>11</xdr:row>
      <xdr:rowOff>129540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198072A1-C72A-0147-0E36-EE870F136480}"/>
            </a:ext>
          </a:extLst>
        </xdr:cNvPr>
        <xdr:cNvSpPr/>
      </xdr:nvSpPr>
      <xdr:spPr>
        <a:xfrm>
          <a:off x="91440" y="190793"/>
          <a:ext cx="4729382" cy="1953651"/>
        </a:xfrm>
        <a:prstGeom prst="rect">
          <a:avLst/>
        </a:prstGeom>
        <a:solidFill>
          <a:srgbClr val="1F2427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15240</xdr:colOff>
      <xdr:row>10</xdr:row>
      <xdr:rowOff>91440</xdr:rowOff>
    </xdr:from>
    <xdr:to>
      <xdr:col>15</xdr:col>
      <xdr:colOff>1485900</xdr:colOff>
      <xdr:row>12</xdr:row>
      <xdr:rowOff>53340</xdr:rowOff>
    </xdr:to>
    <xdr:sp macro="" textlink="F11">
      <xdr:nvSpPr>
        <xdr:cNvPr id="20" name="TextBox 19">
          <a:extLst>
            <a:ext uri="{FF2B5EF4-FFF2-40B4-BE49-F238E27FC236}">
              <a16:creationId xmlns:a16="http://schemas.microsoft.com/office/drawing/2014/main" id="{1E9FE437-ADAF-41BE-BD8B-6BD72CDF8625}"/>
            </a:ext>
          </a:extLst>
        </xdr:cNvPr>
        <xdr:cNvSpPr txBox="1"/>
      </xdr:nvSpPr>
      <xdr:spPr>
        <a:xfrm>
          <a:off x="12580620" y="1920240"/>
          <a:ext cx="1470660" cy="327660"/>
        </a:xfrm>
        <a:prstGeom prst="rect">
          <a:avLst/>
        </a:prstGeom>
        <a:solidFill>
          <a:srgbClr val="CC99FF"/>
        </a:solidFill>
        <a:ln w="9525" cmpd="sng">
          <a:noFill/>
        </a:ln>
        <a:effectLst>
          <a:outerShdw blurRad="19050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AF7B8C-61CC-414A-8AEA-A3FF93795CC0}" type="TxLink">
            <a:rPr lang="en-US" sz="1800" b="1" i="1" u="none" strike="noStrike">
              <a:solidFill>
                <a:srgbClr val="002060"/>
              </a:solidFill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Calibri"/>
              <a:ea typeface="Calibri"/>
              <a:cs typeface="Calibri"/>
            </a:rPr>
            <a:pPr algn="ctr"/>
            <a:t>8</a:t>
          </a:fld>
          <a:endParaRPr lang="en-US" sz="1800" b="1" i="1">
            <a:solidFill>
              <a:srgbClr val="002060"/>
            </a:solidFill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723900</xdr:colOff>
      <xdr:row>2</xdr:row>
      <xdr:rowOff>87630</xdr:rowOff>
    </xdr:from>
    <xdr:to>
      <xdr:col>4</xdr:col>
      <xdr:colOff>60960</xdr:colOff>
      <xdr:row>7</xdr:row>
      <xdr:rowOff>160020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3F674BCA-8198-72A7-172D-BEC53D8F2FCD}"/>
            </a:ext>
          </a:extLst>
        </xdr:cNvPr>
        <xdr:cNvSpPr txBox="1"/>
      </xdr:nvSpPr>
      <xdr:spPr>
        <a:xfrm>
          <a:off x="861060" y="453390"/>
          <a:ext cx="2423160" cy="986790"/>
        </a:xfrm>
        <a:prstGeom prst="rect">
          <a:avLst/>
        </a:prstGeom>
        <a:solidFill>
          <a:srgbClr val="1F2427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 b="1" i="0">
              <a:solidFill>
                <a:srgbClr val="27CED7"/>
              </a:solidFill>
            </a:rPr>
            <a:t>Summury </a:t>
          </a:r>
        </a:p>
        <a:p>
          <a:r>
            <a:rPr lang="en-US" sz="2800" b="1" i="0">
              <a:solidFill>
                <a:srgbClr val="27CED7"/>
              </a:solidFill>
            </a:rPr>
            <a:t>Dashboard</a:t>
          </a:r>
        </a:p>
      </xdr:txBody>
    </xdr:sp>
    <xdr:clientData/>
  </xdr:twoCellAnchor>
  <xdr:twoCellAnchor editAs="oneCell">
    <xdr:from>
      <xdr:col>3</xdr:col>
      <xdr:colOff>77600</xdr:colOff>
      <xdr:row>5</xdr:row>
      <xdr:rowOff>119158</xdr:rowOff>
    </xdr:from>
    <xdr:to>
      <xdr:col>4</xdr:col>
      <xdr:colOff>441960</xdr:colOff>
      <xdr:row>11</xdr:row>
      <xdr:rowOff>80714</xdr:rowOff>
    </xdr:to>
    <xdr:pic>
      <xdr:nvPicPr>
        <xdr:cNvPr id="37" name="Graphic 36" descr="Gauge with solid fill">
          <a:extLst>
            <a:ext uri="{FF2B5EF4-FFF2-40B4-BE49-F238E27FC236}">
              <a16:creationId xmlns:a16="http://schemas.microsoft.com/office/drawing/2014/main" id="{6654B4C4-4ED9-10D3-61E8-0C89834FB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2599820" y="1033558"/>
          <a:ext cx="1065400" cy="1058836"/>
        </a:xfrm>
        <a:prstGeom prst="rect">
          <a:avLst/>
        </a:prstGeom>
      </xdr:spPr>
    </xdr:pic>
    <xdr:clientData/>
  </xdr:twoCellAnchor>
  <xdr:twoCellAnchor>
    <xdr:from>
      <xdr:col>6</xdr:col>
      <xdr:colOff>16086</xdr:colOff>
      <xdr:row>1</xdr:row>
      <xdr:rowOff>74789</xdr:rowOff>
    </xdr:from>
    <xdr:to>
      <xdr:col>9</xdr:col>
      <xdr:colOff>363784</xdr:colOff>
      <xdr:row>14</xdr:row>
      <xdr:rowOff>21449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66E784D-B0A2-4E10-8234-03D332A39E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476D4F4-9565-4B30-BA1D-E616560E33D1}" name="Table27" displayName="Table27" ref="D17:F24" totalsRowShown="0" headerRowDxfId="23" dataDxfId="21" headerRowBorderDxfId="22" totalsRowBorderDxfId="20">
  <autoFilter ref="D17:F24" xr:uid="{3476D4F4-9565-4B30-BA1D-E616560E33D1}">
    <filterColumn colId="0" hiddenButton="1"/>
    <filterColumn colId="1" hiddenButton="1"/>
    <filterColumn colId="2" hiddenButton="1"/>
  </autoFilter>
  <tableColumns count="3">
    <tableColumn id="1" xr3:uid="{0B577D35-66AB-41B2-AF0A-E1155A845CAA}" name="Subject" dataDxfId="19">
      <calculatedColumnFormula>'Data Table'!H2</calculatedColumnFormula>
    </tableColumn>
    <tableColumn id="2" xr3:uid="{C7E9C546-C10A-4632-A24A-2A9062830FE4}" name="Date" dataDxfId="18">
      <calculatedColumnFormula>_xlfn.MAXIFS(Table4[[#All],[Date]],Table4[[#All],[Subject]],Table27[[#This Row],[Subject]])</calculatedColumnFormula>
    </tableColumn>
    <tableColumn id="3" xr3:uid="{9A565129-2C0D-4828-8BA6-D7FD9F77A4DF}" name="Link" dataDxfId="17">
      <calculatedColumnFormula array="1">_xlfn.XLOOKUP(Table27[[#This Row],[Subject]]&amp;Table27[[#This Row],[Date]],Table4[[#All],[Subject]]&amp;Table4[[#All],[Date]],Table4[[#All],[Link]])</calculatedColumnFormula>
    </tableColumn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6935EC-1DA3-4DBC-896A-C73CAB49F03A}" name="Table2" displayName="Table2" ref="H1:J8" totalsRowShown="0" headerRowDxfId="15" dataDxfId="14">
  <autoFilter ref="H1:J8" xr:uid="{A76935EC-1DA3-4DBC-896A-C73CAB49F03A}">
    <filterColumn colId="0" hiddenButton="1"/>
    <filterColumn colId="1" hiddenButton="1"/>
    <filterColumn colId="2" hiddenButton="1"/>
  </autoFilter>
  <tableColumns count="3">
    <tableColumn id="1" xr3:uid="{07B8827D-AC9A-475D-988D-5AED5E13AE67}" name="Subject" dataDxfId="13"/>
    <tableColumn id="2" xr3:uid="{7F3B8962-E82D-422D-9517-7099B89C9AFE}" name="Date" dataDxfId="12">
      <calculatedColumnFormula>_xlfn.MAXIFS($B:$B,$A:$A,H2)</calculatedColumnFormula>
    </tableColumn>
    <tableColumn id="3" xr3:uid="{ABB216E6-8798-4AF7-A474-1D23A2934E69}" name="Link" dataDxfId="11">
      <calculatedColumnFormula array="1">_xlfn.XLOOKUP(H2&amp;I2,$A:$A&amp;$B:$B,$E:$E)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F1F91AC-063E-4894-B5B7-E76B84779445}" name="Table4" displayName="Table4" ref="A1:F1048576" totalsRowShown="0" headerRowDxfId="10" dataDxfId="8" headerRowBorderDxfId="9" tableBorderDxfId="7" totalsRowBorderDxfId="6">
  <autoFilter ref="A1:F1048576" xr:uid="{4F1F91AC-063E-4894-B5B7-E76B84779445}"/>
  <tableColumns count="6">
    <tableColumn id="1" xr3:uid="{0F04385C-CE57-40A3-B2FC-8176A5C88363}" name="Subject" dataDxfId="5"/>
    <tableColumn id="2" xr3:uid="{C17939A9-BB26-484E-909D-DE05E398A7EC}" name="Date" dataDxfId="4"/>
    <tableColumn id="3" xr3:uid="{D1A14890-C6C5-495A-8E74-18719D59A170}" name="Part" dataDxfId="3"/>
    <tableColumn id="4" xr3:uid="{783983A7-B2C5-4644-A594-C8262A848F4D}" name="Duration" dataDxfId="2"/>
    <tableColumn id="5" xr3:uid="{5B695C7D-ED93-446B-9625-CE5563DFF9D0}" name="Link" dataDxfId="1"/>
    <tableColumn id="6" xr3:uid="{49E6581F-1B16-4204-8492-44B79A1B2A57}" name="Status" dataDxfId="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9D7A1C-34E2-434C-B6AA-18512D7EB2F5}" name="Table1" displayName="Table1" ref="B3:F11" totalsRowShown="0" headerRowDxfId="31" dataDxfId="30" tableBorderDxfId="29">
  <autoFilter ref="B3:F11" xr:uid="{8C9D7A1C-34E2-434C-B6AA-18512D7EB2F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F51C4D68-25C3-4174-B33D-A831F3457DAD}" name="Subject" dataDxfId="28"/>
    <tableColumn id="2" xr3:uid="{749E4C37-FB7D-4DA3-8E75-5A5DFC9253FC}" name="Total" dataDxfId="27">
      <calculatedColumnFormula>SUMIF('Data Table'!$A:$A,B4,'Data Table'!$D:$D)</calculatedColumnFormula>
    </tableColumn>
    <tableColumn id="3" xr3:uid="{AFC51DB2-1A65-4448-84B5-2E361CA0EF16}" name="Watched" dataDxfId="26"/>
    <tableColumn id="4" xr3:uid="{3F01B669-7725-4783-8E5C-88BAE1AE51BE}" name="Remain" dataDxfId="25"/>
    <tableColumn id="5" xr3:uid="{4189CEB9-AC08-459E-AD97-AB150325F8B2}" name="Missing" dataDxfId="24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s://youtu.be/dQw4w9WgXcQ" TargetMode="External"/><Relationship Id="rId18" Type="http://schemas.openxmlformats.org/officeDocument/2006/relationships/hyperlink" Target="https://youtu.be/dQw4w9WgXcQ" TargetMode="External"/><Relationship Id="rId26" Type="http://schemas.openxmlformats.org/officeDocument/2006/relationships/hyperlink" Target="https://youtu.be/dQw4w9WgXcQ" TargetMode="External"/><Relationship Id="rId39" Type="http://schemas.openxmlformats.org/officeDocument/2006/relationships/hyperlink" Target="https://youtu.be/dQw4w9WgXcQ" TargetMode="External"/><Relationship Id="rId21" Type="http://schemas.openxmlformats.org/officeDocument/2006/relationships/hyperlink" Target="https://youtu.be/dQw4w9WgXcQ" TargetMode="External"/><Relationship Id="rId34" Type="http://schemas.openxmlformats.org/officeDocument/2006/relationships/hyperlink" Target="https://youtu.be/dQw4w9WgXcQ" TargetMode="External"/><Relationship Id="rId42" Type="http://schemas.openxmlformats.org/officeDocument/2006/relationships/hyperlink" Target="https://youtu.be/dQw4w9WgXcQ" TargetMode="External"/><Relationship Id="rId7" Type="http://schemas.openxmlformats.org/officeDocument/2006/relationships/hyperlink" Target="https://youtu.be/dQw4w9WgXcQ" TargetMode="External"/><Relationship Id="rId2" Type="http://schemas.openxmlformats.org/officeDocument/2006/relationships/hyperlink" Target="https://youtu.be/dQw4w9WgXcQ" TargetMode="External"/><Relationship Id="rId16" Type="http://schemas.openxmlformats.org/officeDocument/2006/relationships/hyperlink" Target="https://youtu.be/dQw4w9WgXcQ" TargetMode="External"/><Relationship Id="rId29" Type="http://schemas.openxmlformats.org/officeDocument/2006/relationships/hyperlink" Target="https://youtu.be/dQw4w9WgXcQ" TargetMode="External"/><Relationship Id="rId1" Type="http://schemas.openxmlformats.org/officeDocument/2006/relationships/hyperlink" Target="https://youtu.be/dQw4w9WgXcQ" TargetMode="External"/><Relationship Id="rId6" Type="http://schemas.openxmlformats.org/officeDocument/2006/relationships/hyperlink" Target="https://youtu.be/dQw4w9WgXcQ" TargetMode="External"/><Relationship Id="rId11" Type="http://schemas.openxmlformats.org/officeDocument/2006/relationships/hyperlink" Target="https://youtu.be/dQw4w9WgXcQ" TargetMode="External"/><Relationship Id="rId24" Type="http://schemas.openxmlformats.org/officeDocument/2006/relationships/hyperlink" Target="https://youtu.be/dQw4w9WgXcQ" TargetMode="External"/><Relationship Id="rId32" Type="http://schemas.openxmlformats.org/officeDocument/2006/relationships/hyperlink" Target="https://youtu.be/dQw4w9WgXcQ" TargetMode="External"/><Relationship Id="rId37" Type="http://schemas.openxmlformats.org/officeDocument/2006/relationships/hyperlink" Target="https://youtu.be/dQw4w9WgXcQ" TargetMode="External"/><Relationship Id="rId40" Type="http://schemas.openxmlformats.org/officeDocument/2006/relationships/hyperlink" Target="https://youtu.be/dQw4w9WgXcQ" TargetMode="External"/><Relationship Id="rId45" Type="http://schemas.openxmlformats.org/officeDocument/2006/relationships/table" Target="../tables/table2.xml"/><Relationship Id="rId5" Type="http://schemas.openxmlformats.org/officeDocument/2006/relationships/hyperlink" Target="https://youtu.be/dQw4w9WgXcQ" TargetMode="External"/><Relationship Id="rId15" Type="http://schemas.openxmlformats.org/officeDocument/2006/relationships/hyperlink" Target="https://youtu.be/dQw4w9WgXcQ" TargetMode="External"/><Relationship Id="rId23" Type="http://schemas.openxmlformats.org/officeDocument/2006/relationships/hyperlink" Target="https://youtu.be/dQw4w9WgXcQ" TargetMode="External"/><Relationship Id="rId28" Type="http://schemas.openxmlformats.org/officeDocument/2006/relationships/hyperlink" Target="https://youtu.be/dQw4w9WgXcQ" TargetMode="External"/><Relationship Id="rId36" Type="http://schemas.openxmlformats.org/officeDocument/2006/relationships/hyperlink" Target="https://youtu.be/dQw4w9WgXcQ" TargetMode="External"/><Relationship Id="rId10" Type="http://schemas.openxmlformats.org/officeDocument/2006/relationships/hyperlink" Target="https://youtu.be/dQw4w9WgXcQ" TargetMode="External"/><Relationship Id="rId19" Type="http://schemas.openxmlformats.org/officeDocument/2006/relationships/hyperlink" Target="https://youtu.be/dQw4w9WgXcQ" TargetMode="External"/><Relationship Id="rId31" Type="http://schemas.openxmlformats.org/officeDocument/2006/relationships/hyperlink" Target="https://youtu.be/dQw4w9WgXcQ" TargetMode="External"/><Relationship Id="rId44" Type="http://schemas.openxmlformats.org/officeDocument/2006/relationships/hyperlink" Target="https://youtu.be/dQw4w9WgXcQ" TargetMode="External"/><Relationship Id="rId4" Type="http://schemas.openxmlformats.org/officeDocument/2006/relationships/hyperlink" Target="https://youtu.be/dQw4w9WgXcQ" TargetMode="External"/><Relationship Id="rId9" Type="http://schemas.openxmlformats.org/officeDocument/2006/relationships/hyperlink" Target="https://youtu.be/dQw4w9WgXcQ" TargetMode="External"/><Relationship Id="rId14" Type="http://schemas.openxmlformats.org/officeDocument/2006/relationships/hyperlink" Target="https://youtu.be/dQw4w9WgXcQ" TargetMode="External"/><Relationship Id="rId22" Type="http://schemas.openxmlformats.org/officeDocument/2006/relationships/hyperlink" Target="https://youtu.be/dQw4w9WgXcQ" TargetMode="External"/><Relationship Id="rId27" Type="http://schemas.openxmlformats.org/officeDocument/2006/relationships/hyperlink" Target="https://youtu.be/dQw4w9WgXcQ" TargetMode="External"/><Relationship Id="rId30" Type="http://schemas.openxmlformats.org/officeDocument/2006/relationships/hyperlink" Target="https://youtu.be/dQw4w9WgXcQ" TargetMode="External"/><Relationship Id="rId35" Type="http://schemas.openxmlformats.org/officeDocument/2006/relationships/hyperlink" Target="https://youtu.be/dQw4w9WgXcQ" TargetMode="External"/><Relationship Id="rId43" Type="http://schemas.openxmlformats.org/officeDocument/2006/relationships/hyperlink" Target="https://youtu.be/dQw4w9WgXcQ" TargetMode="External"/><Relationship Id="rId8" Type="http://schemas.openxmlformats.org/officeDocument/2006/relationships/hyperlink" Target="https://youtu.be/dQw4w9WgXcQ" TargetMode="External"/><Relationship Id="rId3" Type="http://schemas.openxmlformats.org/officeDocument/2006/relationships/hyperlink" Target="https://youtu.be/dQw4w9WgXcQ" TargetMode="External"/><Relationship Id="rId12" Type="http://schemas.openxmlformats.org/officeDocument/2006/relationships/hyperlink" Target="https://youtu.be/dQw4w9WgXcQ" TargetMode="External"/><Relationship Id="rId17" Type="http://schemas.openxmlformats.org/officeDocument/2006/relationships/hyperlink" Target="https://youtu.be/dQw4w9WgXcQ" TargetMode="External"/><Relationship Id="rId25" Type="http://schemas.openxmlformats.org/officeDocument/2006/relationships/hyperlink" Target="https://youtu.be/dQw4w9WgXcQ" TargetMode="External"/><Relationship Id="rId33" Type="http://schemas.openxmlformats.org/officeDocument/2006/relationships/hyperlink" Target="https://youtu.be/dQw4w9WgXcQ" TargetMode="External"/><Relationship Id="rId38" Type="http://schemas.openxmlformats.org/officeDocument/2006/relationships/hyperlink" Target="https://youtu.be/dQw4w9WgXcQ" TargetMode="External"/><Relationship Id="rId46" Type="http://schemas.openxmlformats.org/officeDocument/2006/relationships/table" Target="../tables/table3.xml"/><Relationship Id="rId20" Type="http://schemas.openxmlformats.org/officeDocument/2006/relationships/hyperlink" Target="https://youtu.be/dQw4w9WgXcQ" TargetMode="External"/><Relationship Id="rId41" Type="http://schemas.openxmlformats.org/officeDocument/2006/relationships/hyperlink" Target="https://youtu.be/dQw4w9WgXcQ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N24"/>
  <sheetViews>
    <sheetView tabSelected="1" zoomScaleNormal="100" workbookViewId="0">
      <selection activeCell="P18" sqref="P18"/>
    </sheetView>
  </sheetViews>
  <sheetFormatPr defaultRowHeight="14.4"/>
  <cols>
    <col min="1" max="1" width="33.44140625" style="23" customWidth="1"/>
    <col min="2" max="2" width="25.77734375" style="23" customWidth="1"/>
    <col min="3" max="3" width="11.33203125" style="23" customWidth="1"/>
    <col min="4" max="4" width="34.44140625" style="25" customWidth="1"/>
    <col min="5" max="5" width="12.44140625" style="23" bestFit="1" customWidth="1"/>
    <col min="6" max="6" width="29.109375" style="23" bestFit="1" customWidth="1"/>
    <col min="7" max="8" width="8.88671875" style="23"/>
    <col min="9" max="9" width="8.88671875" style="23" customWidth="1"/>
    <col min="10" max="16384" width="8.88671875" style="23"/>
  </cols>
  <sheetData>
    <row r="1" spans="2:14" ht="16.2" customHeight="1"/>
    <row r="2" spans="2:14">
      <c r="B2" s="40"/>
      <c r="C2" s="41"/>
      <c r="D2" s="42"/>
      <c r="E2" s="41"/>
      <c r="F2" s="41"/>
      <c r="G2" s="41"/>
      <c r="H2" s="41"/>
      <c r="I2" s="41"/>
      <c r="J2" s="43"/>
    </row>
    <row r="3" spans="2:14" ht="27.6">
      <c r="B3" s="44"/>
      <c r="C3" s="39"/>
      <c r="D3" s="53" t="s">
        <v>22</v>
      </c>
      <c r="E3" s="45"/>
      <c r="F3" s="45"/>
      <c r="G3" s="39"/>
      <c r="H3" s="39"/>
      <c r="I3" s="39"/>
      <c r="J3" s="46"/>
      <c r="K3" s="32"/>
      <c r="L3" s="32"/>
      <c r="M3" s="32"/>
      <c r="N3" s="32"/>
    </row>
    <row r="4" spans="2:14">
      <c r="B4" s="44"/>
      <c r="C4" s="39"/>
      <c r="D4" s="47"/>
      <c r="E4" s="39"/>
      <c r="F4" s="39"/>
      <c r="G4" s="39"/>
      <c r="H4" s="39"/>
      <c r="I4" s="39"/>
      <c r="J4" s="46"/>
      <c r="K4" s="32"/>
      <c r="L4" s="32" t="s">
        <v>0</v>
      </c>
      <c r="M4" s="32">
        <f>D5</f>
        <v>0</v>
      </c>
      <c r="N4" s="32"/>
    </row>
    <row r="5" spans="2:14" ht="16.2" thickBot="1">
      <c r="B5" s="44"/>
      <c r="C5" s="52" t="s">
        <v>0</v>
      </c>
      <c r="D5" s="66"/>
      <c r="E5" s="39"/>
      <c r="F5" s="39"/>
      <c r="G5" s="39"/>
      <c r="H5" s="39"/>
      <c r="I5" s="39"/>
      <c r="J5" s="46"/>
      <c r="K5" s="32"/>
      <c r="L5" s="32" t="s">
        <v>1</v>
      </c>
      <c r="M5" s="68">
        <f>D7</f>
        <v>0</v>
      </c>
      <c r="N5" s="32"/>
    </row>
    <row r="6" spans="2:14" ht="16.2" thickTop="1">
      <c r="B6" s="44"/>
      <c r="C6" s="52"/>
      <c r="D6" s="47"/>
      <c r="E6" s="39"/>
      <c r="F6" s="39"/>
      <c r="G6" s="39"/>
      <c r="H6" s="39"/>
      <c r="I6" s="39"/>
      <c r="J6" s="46"/>
      <c r="K6" s="32"/>
      <c r="L6" s="32" t="s">
        <v>2</v>
      </c>
      <c r="M6" s="32">
        <f>D9</f>
        <v>0</v>
      </c>
      <c r="N6" s="32"/>
    </row>
    <row r="7" spans="2:14" ht="16.2" thickBot="1">
      <c r="B7" s="44"/>
      <c r="C7" s="52" t="s">
        <v>1</v>
      </c>
      <c r="D7" s="67"/>
      <c r="E7" s="39"/>
      <c r="F7" s="39"/>
      <c r="G7" s="39"/>
      <c r="H7" s="39"/>
      <c r="I7" s="39"/>
      <c r="J7" s="46"/>
      <c r="K7" s="32"/>
      <c r="L7" s="32" t="s">
        <v>3</v>
      </c>
      <c r="M7" s="32">
        <f>D11</f>
        <v>0</v>
      </c>
      <c r="N7" s="32"/>
    </row>
    <row r="8" spans="2:14" ht="16.2" thickTop="1">
      <c r="B8" s="44"/>
      <c r="C8" s="52"/>
      <c r="D8" s="47"/>
      <c r="E8" s="39"/>
      <c r="F8" s="39"/>
      <c r="G8" s="39"/>
      <c r="H8" s="39"/>
      <c r="I8" s="39"/>
      <c r="J8" s="46"/>
      <c r="K8" s="32"/>
      <c r="L8" s="32" t="s">
        <v>4</v>
      </c>
      <c r="M8" s="32">
        <f>D13</f>
        <v>0</v>
      </c>
      <c r="N8" s="32"/>
    </row>
    <row r="9" spans="2:14" ht="16.2" thickBot="1">
      <c r="B9" s="44"/>
      <c r="C9" s="52" t="s">
        <v>2</v>
      </c>
      <c r="D9" s="66"/>
      <c r="E9" s="39"/>
      <c r="F9" s="39"/>
      <c r="G9" s="39"/>
      <c r="H9" s="39"/>
      <c r="I9" s="39"/>
      <c r="J9" s="46"/>
      <c r="K9" s="32"/>
      <c r="L9" s="32"/>
      <c r="M9" s="32"/>
      <c r="N9" s="32"/>
    </row>
    <row r="10" spans="2:14" ht="16.2" thickTop="1">
      <c r="B10" s="44"/>
      <c r="C10" s="52"/>
      <c r="D10" s="47"/>
      <c r="E10" s="39"/>
      <c r="F10" s="39"/>
      <c r="G10" s="39"/>
      <c r="H10" s="39"/>
      <c r="I10" s="39"/>
      <c r="J10" s="46"/>
    </row>
    <row r="11" spans="2:14" ht="16.2" thickBot="1">
      <c r="B11" s="44"/>
      <c r="C11" s="52" t="s">
        <v>3</v>
      </c>
      <c r="D11" s="66"/>
      <c r="E11" s="39"/>
      <c r="F11" s="39"/>
      <c r="G11" s="39"/>
      <c r="H11" s="39"/>
      <c r="I11" s="39"/>
      <c r="J11" s="46"/>
    </row>
    <row r="12" spans="2:14" ht="16.2" thickTop="1">
      <c r="B12" s="44"/>
      <c r="C12" s="52"/>
      <c r="D12" s="47"/>
      <c r="E12" s="39"/>
      <c r="F12" s="39"/>
      <c r="G12" s="39"/>
      <c r="H12" s="39"/>
      <c r="I12" s="39"/>
      <c r="J12" s="46"/>
    </row>
    <row r="13" spans="2:14" ht="16.2" thickBot="1">
      <c r="B13" s="44"/>
      <c r="C13" s="52" t="s">
        <v>4</v>
      </c>
      <c r="D13" s="66"/>
      <c r="E13" s="39"/>
      <c r="F13" s="39"/>
      <c r="G13" s="39"/>
      <c r="H13" s="39"/>
      <c r="I13" s="39"/>
      <c r="J13" s="46"/>
    </row>
    <row r="14" spans="2:14" ht="15" thickTop="1">
      <c r="B14" s="48"/>
      <c r="C14" s="49"/>
      <c r="D14" s="50"/>
      <c r="E14" s="49"/>
      <c r="F14" s="49"/>
      <c r="G14" s="49"/>
      <c r="H14" s="49"/>
      <c r="I14" s="49"/>
      <c r="J14" s="51"/>
    </row>
    <row r="17" spans="4:6" ht="15.6">
      <c r="D17" s="54" t="s">
        <v>0</v>
      </c>
      <c r="E17" s="55" t="s">
        <v>1</v>
      </c>
      <c r="F17" s="56" t="s">
        <v>4</v>
      </c>
    </row>
    <row r="18" spans="4:6" ht="15.6">
      <c r="D18" s="57" t="str">
        <f>'Data Table'!H2</f>
        <v>Organisational Behaviour</v>
      </c>
      <c r="E18" s="58">
        <f>_xlfn.MAXIFS(Table4[[#All],[Date]],Table4[[#All],[Subject]],Table27[[#This Row],[Subject]])</f>
        <v>46067</v>
      </c>
      <c r="F18" s="59" t="str" cm="1">
        <f t="array" ref="F18">_xlfn.XLOOKUP(Table27[[#This Row],[Subject]]&amp;Table27[[#This Row],[Date]],Table4[[#All],[Subject]]&amp;Table4[[#All],[Date]],Table4[[#All],[Link]])</f>
        <v>https://youtu.be/dQw4w9WgXcQ</v>
      </c>
    </row>
    <row r="19" spans="4:6" ht="15.6">
      <c r="D19" s="60" t="str">
        <f>'Data Table'!H3</f>
        <v>HRM</v>
      </c>
      <c r="E19" s="61">
        <f>_xlfn.MAXIFS(Table4[[#All],[Date]],Table4[[#All],[Subject]],Table27[[#This Row],[Subject]])</f>
        <v>46081</v>
      </c>
      <c r="F19" s="62" t="str" cm="1">
        <f t="array" ref="F19">_xlfn.XLOOKUP(Table27[[#This Row],[Subject]]&amp;Table27[[#This Row],[Date]],Table4[[#All],[Subject]]&amp;Table4[[#All],[Date]],Table4[[#All],[Link]])</f>
        <v>?</v>
      </c>
    </row>
    <row r="20" spans="4:6" ht="15.6">
      <c r="D20" s="57" t="str">
        <f>'Data Table'!H4</f>
        <v>Financial Management</v>
      </c>
      <c r="E20" s="58">
        <f>_xlfn.MAXIFS(Table4[[#All],[Date]],Table4[[#All],[Subject]],Table27[[#This Row],[Subject]])</f>
        <v>46082</v>
      </c>
      <c r="F20" s="59" t="str" cm="1">
        <f t="array" ref="F20">_xlfn.XLOOKUP(Table27[[#This Row],[Subject]]&amp;Table27[[#This Row],[Date]],Table4[[#All],[Subject]]&amp;Table4[[#All],[Date]],Table4[[#All],[Link]])</f>
        <v>?</v>
      </c>
    </row>
    <row r="21" spans="4:6" ht="15.6">
      <c r="D21" s="57" t="str">
        <f>'Data Table'!H5</f>
        <v>Marketing Management</v>
      </c>
      <c r="E21" s="58">
        <f>_xlfn.MAXIFS(Table4[[#All],[Date]],Table4[[#All],[Subject]],Table27[[#This Row],[Subject]])</f>
        <v>46082</v>
      </c>
      <c r="F21" s="59" t="str" cm="1">
        <f t="array" ref="F21">_xlfn.XLOOKUP(Table27[[#This Row],[Subject]]&amp;Table27[[#This Row],[Date]],Table4[[#All],[Subject]]&amp;Table4[[#All],[Date]],Table4[[#All],[Link]])</f>
        <v>?</v>
      </c>
    </row>
    <row r="22" spans="4:6" ht="15.6">
      <c r="D22" s="57" t="str">
        <f>'Data Table'!H6</f>
        <v>Operation Management</v>
      </c>
      <c r="E22" s="58">
        <f>_xlfn.MAXIFS(Table4[[#All],[Date]],Table4[[#All],[Subject]],Table27[[#This Row],[Subject]])</f>
        <v>46075</v>
      </c>
      <c r="F22" s="59" t="str" cm="1">
        <f t="array" ref="F22">_xlfn.XLOOKUP(Table27[[#This Row],[Subject]]&amp;Table27[[#This Row],[Date]],Table4[[#All],[Subject]]&amp;Table4[[#All],[Date]],Table4[[#All],[Link]])</f>
        <v>https://youtu.be/dQw4w9WgXcQ</v>
      </c>
    </row>
    <row r="23" spans="4:6" ht="15.6">
      <c r="D23" s="57" t="str">
        <f>'Data Table'!H7</f>
        <v>Cost Mgt &amp; Accounting</v>
      </c>
      <c r="E23" s="58">
        <f>_xlfn.MAXIFS(Table4[[#All],[Date]],Table4[[#All],[Subject]],Table27[[#This Row],[Subject]])</f>
        <v>46081</v>
      </c>
      <c r="F23" s="59" t="str" cm="1">
        <f t="array" ref="F23">_xlfn.XLOOKUP(Table27[[#This Row],[Subject]]&amp;Table27[[#This Row],[Date]],Table4[[#All],[Subject]]&amp;Table4[[#All],[Date]],Table4[[#All],[Link]])</f>
        <v>?</v>
      </c>
    </row>
    <row r="24" spans="4:6" ht="15.6">
      <c r="D24" s="63" t="str">
        <f>'Data Table'!H8</f>
        <v>Business Law</v>
      </c>
      <c r="E24" s="64">
        <f>_xlfn.MAXIFS(Table4[[#All],[Date]],Table4[[#All],[Subject]],Table27[[#This Row],[Subject]])</f>
        <v>46036</v>
      </c>
      <c r="F24" s="65" t="str" cm="1">
        <f t="array" ref="F24">_xlfn.XLOOKUP(Table27[[#This Row],[Subject]]&amp;Table27[[#This Row],[Date]],Table4[[#All],[Subject]]&amp;Table4[[#All],[Date]],Table4[[#All],[Link]])</f>
        <v>https://youtu.be/dQw4w9WgXcQ</v>
      </c>
    </row>
  </sheetData>
  <dataValidations count="3">
    <dataValidation type="list" showInputMessage="1" showErrorMessage="1" sqref="D5" xr:uid="{3536BB8F-7904-479C-8E89-CE9C49836F29}">
      <formula1>"HRM,Marketing Management,Organisational Behaviour,Financial Management,Cost &amp; Mgt Accounting,Operation Management,Business Law"</formula1>
    </dataValidation>
    <dataValidation allowBlank="1" showInputMessage="1" showErrorMessage="1" prompt="Ex: 01 Jan 2026" sqref="D7" xr:uid="{996C88E0-E0BB-4C27-AF17-6279E1BC96EA}"/>
    <dataValidation allowBlank="1" showInputMessage="1" showErrorMessage="1" prompt="Only in Hours" sqref="D11" xr:uid="{C4ABDA02-4756-4C5D-8304-12FBE639E7F4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uto_LMS">
                <anchor moveWithCells="1" sizeWithCells="1">
                  <from>
                    <xdr:col>6</xdr:col>
                    <xdr:colOff>114300</xdr:colOff>
                    <xdr:row>10</xdr:row>
                    <xdr:rowOff>99060</xdr:rowOff>
                  </from>
                  <to>
                    <xdr:col>8</xdr:col>
                    <xdr:colOff>365760</xdr:colOff>
                    <xdr:row>12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9CEDD-6C4D-4E21-A316-FE0FF98CD9FA}">
  <sheetPr codeName="Sheet2"/>
  <dimension ref="A1:J1048576"/>
  <sheetViews>
    <sheetView workbookViewId="0">
      <selection activeCell="A54" sqref="A54:F55"/>
    </sheetView>
  </sheetViews>
  <sheetFormatPr defaultRowHeight="15.6"/>
  <cols>
    <col min="1" max="1" width="25.77734375" style="11" customWidth="1"/>
    <col min="2" max="2" width="15.77734375" style="12" customWidth="1"/>
    <col min="3" max="3" width="10.77734375" style="13" customWidth="1"/>
    <col min="4" max="4" width="12.21875" style="13" customWidth="1"/>
    <col min="5" max="5" width="30.77734375" style="13" customWidth="1"/>
    <col min="6" max="6" width="9.44140625" style="15" customWidth="1"/>
    <col min="7" max="7" width="8.88671875" style="1"/>
    <col min="8" max="8" width="21.77734375" style="1" bestFit="1" customWidth="1"/>
    <col min="9" max="9" width="10.44140625" style="5" customWidth="1"/>
    <col min="10" max="10" width="30.77734375" style="2" customWidth="1"/>
    <col min="11" max="16384" width="8.88671875" style="1"/>
  </cols>
  <sheetData>
    <row r="1" spans="1:10" ht="18">
      <c r="A1" s="6" t="s">
        <v>0</v>
      </c>
      <c r="B1" s="7" t="s">
        <v>1</v>
      </c>
      <c r="C1" s="8" t="s">
        <v>2</v>
      </c>
      <c r="D1" s="8" t="s">
        <v>3</v>
      </c>
      <c r="E1" s="8" t="s">
        <v>4</v>
      </c>
      <c r="F1" s="9" t="s">
        <v>14</v>
      </c>
      <c r="H1" s="4" t="s">
        <v>0</v>
      </c>
      <c r="I1" s="3" t="s">
        <v>1</v>
      </c>
      <c r="J1" s="4" t="s">
        <v>4</v>
      </c>
    </row>
    <row r="2" spans="1:10" ht="18">
      <c r="A2" s="11" t="s">
        <v>19</v>
      </c>
      <c r="B2" s="12">
        <v>46075</v>
      </c>
      <c r="C2" s="13">
        <v>2</v>
      </c>
      <c r="D2" s="13">
        <v>1</v>
      </c>
      <c r="E2" s="21" t="s">
        <v>20</v>
      </c>
      <c r="F2" s="10"/>
      <c r="H2" t="str">
        <f>A3</f>
        <v>Organisational Behaviour</v>
      </c>
      <c r="I2" s="3">
        <f t="shared" ref="I2:I8" si="0">_xlfn.MAXIFS($B:$B,$A:$A,H2)</f>
        <v>46067</v>
      </c>
      <c r="J2" s="4" t="str" cm="1">
        <f t="array" ref="J2">_xlfn.XLOOKUP(H2&amp;I2,$A:$A&amp;$B:$B,$E:$E)</f>
        <v>https://youtu.be/dQw4w9WgXcQ</v>
      </c>
    </row>
    <row r="3" spans="1:10">
      <c r="A3" s="11" t="s">
        <v>5</v>
      </c>
      <c r="B3" s="12">
        <v>46040</v>
      </c>
      <c r="C3" s="13">
        <v>1</v>
      </c>
      <c r="D3" s="13">
        <v>1</v>
      </c>
      <c r="E3" s="21" t="s">
        <v>20</v>
      </c>
      <c r="F3" s="15" t="s">
        <v>17</v>
      </c>
      <c r="H3" t="str">
        <f>A7</f>
        <v>HRM</v>
      </c>
      <c r="I3" s="3">
        <f t="shared" si="0"/>
        <v>46081</v>
      </c>
      <c r="J3" s="4" t="str" cm="1">
        <f t="array" ref="J3">_xlfn.XLOOKUP(H3&amp;I3,$A:$A&amp;$B:$B,$E:$E)</f>
        <v>?</v>
      </c>
    </row>
    <row r="4" spans="1:10">
      <c r="A4" s="11" t="s">
        <v>5</v>
      </c>
      <c r="B4" s="12">
        <v>46040</v>
      </c>
      <c r="C4" s="13">
        <v>2</v>
      </c>
      <c r="D4" s="13">
        <v>2</v>
      </c>
      <c r="E4" s="21" t="s">
        <v>20</v>
      </c>
      <c r="F4" s="15" t="s">
        <v>17</v>
      </c>
      <c r="H4" t="str">
        <f>A13</f>
        <v>Financial Management</v>
      </c>
      <c r="I4" s="3">
        <f t="shared" si="0"/>
        <v>46082</v>
      </c>
      <c r="J4" s="4" t="str" cm="1">
        <f t="array" ref="J4">_xlfn.XLOOKUP(H4&amp;I4,$A:$A&amp;$B:$B,$E:$E)</f>
        <v>?</v>
      </c>
    </row>
    <row r="5" spans="1:10">
      <c r="A5" s="11" t="s">
        <v>5</v>
      </c>
      <c r="B5" s="12">
        <v>46061</v>
      </c>
      <c r="C5" s="13">
        <v>1</v>
      </c>
      <c r="D5" s="13">
        <v>1.5</v>
      </c>
      <c r="E5" s="21" t="s">
        <v>20</v>
      </c>
      <c r="H5" t="str">
        <f>A25</f>
        <v>Marketing Management</v>
      </c>
      <c r="I5" s="3">
        <f t="shared" si="0"/>
        <v>46082</v>
      </c>
      <c r="J5" s="4" t="str" cm="1">
        <f t="array" ref="J5">_xlfn.XLOOKUP(H5&amp;I5,$A:$A&amp;$B:$B,$E:$E)</f>
        <v>?</v>
      </c>
    </row>
    <row r="6" spans="1:10">
      <c r="A6" s="11" t="s">
        <v>5</v>
      </c>
      <c r="B6" s="12">
        <v>46067</v>
      </c>
      <c r="C6" s="13">
        <v>1</v>
      </c>
      <c r="D6" s="13">
        <v>1.5</v>
      </c>
      <c r="E6" s="21" t="s">
        <v>20</v>
      </c>
      <c r="H6" t="str">
        <f>A33</f>
        <v>Operation Management</v>
      </c>
      <c r="I6" s="3">
        <f t="shared" si="0"/>
        <v>46075</v>
      </c>
      <c r="J6" s="4" t="str" cm="1">
        <f t="array" ref="J6">_xlfn.XLOOKUP(H6&amp;I6,$A:$A&amp;$B:$B,$E:$E)</f>
        <v>https://youtu.be/dQw4w9WgXcQ</v>
      </c>
    </row>
    <row r="7" spans="1:10">
      <c r="A7" s="11" t="s">
        <v>6</v>
      </c>
      <c r="B7" s="12">
        <v>46033</v>
      </c>
      <c r="C7" s="13">
        <v>1</v>
      </c>
      <c r="D7" s="13">
        <v>2.5</v>
      </c>
      <c r="E7" s="21" t="s">
        <v>20</v>
      </c>
      <c r="F7" s="15" t="s">
        <v>17</v>
      </c>
      <c r="H7" t="str">
        <f>A39</f>
        <v>Cost Mgt &amp; Accounting</v>
      </c>
      <c r="I7" s="3">
        <f t="shared" si="0"/>
        <v>46081</v>
      </c>
      <c r="J7" s="4" t="str" cm="1">
        <f t="array" ref="J7">_xlfn.XLOOKUP(H7&amp;I7,$A:$A&amp;$B:$B,$E:$E)</f>
        <v>?</v>
      </c>
    </row>
    <row r="8" spans="1:10">
      <c r="A8" s="11" t="s">
        <v>6</v>
      </c>
      <c r="B8" s="12">
        <v>46033</v>
      </c>
      <c r="C8" s="13">
        <v>2</v>
      </c>
      <c r="D8" s="13">
        <v>1.5</v>
      </c>
      <c r="E8" s="21" t="s">
        <v>20</v>
      </c>
      <c r="F8" s="15" t="s">
        <v>17</v>
      </c>
      <c r="H8" t="str">
        <f>A47</f>
        <v>Business Law</v>
      </c>
      <c r="I8" s="3">
        <f t="shared" si="0"/>
        <v>46036</v>
      </c>
      <c r="J8" s="4" t="str" cm="1">
        <f t="array" ref="J8">_xlfn.XLOOKUP(H8&amp;I8,$A:$A&amp;$B:$B,$E:$E)</f>
        <v>https://youtu.be/dQw4w9WgXcQ</v>
      </c>
    </row>
    <row r="9" spans="1:10">
      <c r="A9" s="11" t="s">
        <v>6</v>
      </c>
      <c r="B9" s="12">
        <v>46039</v>
      </c>
      <c r="C9" s="13">
        <v>1</v>
      </c>
      <c r="D9" s="13">
        <v>2</v>
      </c>
      <c r="E9" s="21" t="s">
        <v>20</v>
      </c>
      <c r="F9" s="15" t="s">
        <v>17</v>
      </c>
      <c r="I9" s="1"/>
      <c r="J9" s="1"/>
    </row>
    <row r="10" spans="1:10">
      <c r="A10" s="11" t="s">
        <v>6</v>
      </c>
      <c r="B10" s="12">
        <v>46039</v>
      </c>
      <c r="C10" s="13">
        <v>2</v>
      </c>
      <c r="D10" s="13">
        <v>1.5</v>
      </c>
      <c r="E10" s="21" t="s">
        <v>20</v>
      </c>
      <c r="F10" s="15" t="s">
        <v>17</v>
      </c>
    </row>
    <row r="11" spans="1:10">
      <c r="A11" s="11" t="s">
        <v>6</v>
      </c>
      <c r="B11" s="12">
        <v>46074</v>
      </c>
      <c r="C11" s="13">
        <v>1</v>
      </c>
      <c r="D11" s="13">
        <v>2</v>
      </c>
      <c r="E11" s="21" t="s">
        <v>20</v>
      </c>
    </row>
    <row r="12" spans="1:10">
      <c r="A12" s="11" t="s">
        <v>6</v>
      </c>
      <c r="B12" s="12">
        <v>46081</v>
      </c>
      <c r="E12" s="16" t="s">
        <v>10</v>
      </c>
    </row>
    <row r="13" spans="1:10">
      <c r="A13" s="11" t="s">
        <v>7</v>
      </c>
      <c r="B13" s="12">
        <v>46026</v>
      </c>
      <c r="C13" s="13">
        <v>1</v>
      </c>
      <c r="D13" s="13">
        <v>1.5</v>
      </c>
      <c r="E13" s="14" t="s">
        <v>20</v>
      </c>
      <c r="F13" s="15" t="s">
        <v>17</v>
      </c>
    </row>
    <row r="14" spans="1:10">
      <c r="A14" s="11" t="s">
        <v>7</v>
      </c>
      <c r="B14" s="12">
        <v>46026</v>
      </c>
      <c r="C14" s="13">
        <v>2</v>
      </c>
      <c r="D14" s="13">
        <v>2</v>
      </c>
      <c r="E14" s="14" t="s">
        <v>20</v>
      </c>
      <c r="F14" s="15" t="s">
        <v>17</v>
      </c>
    </row>
    <row r="15" spans="1:10">
      <c r="A15" s="11" t="s">
        <v>7</v>
      </c>
      <c r="B15" s="12">
        <v>46032</v>
      </c>
      <c r="C15" s="13">
        <v>1</v>
      </c>
      <c r="D15" s="13">
        <v>1.25</v>
      </c>
      <c r="E15" s="14" t="s">
        <v>20</v>
      </c>
      <c r="F15" s="15" t="s">
        <v>17</v>
      </c>
    </row>
    <row r="16" spans="1:10">
      <c r="A16" s="11" t="s">
        <v>7</v>
      </c>
      <c r="B16" s="12">
        <v>46032</v>
      </c>
      <c r="C16" s="13">
        <v>2</v>
      </c>
      <c r="D16" s="13">
        <v>2</v>
      </c>
      <c r="E16" s="14" t="s">
        <v>20</v>
      </c>
      <c r="F16" s="15" t="s">
        <v>17</v>
      </c>
    </row>
    <row r="17" spans="1:6">
      <c r="A17" s="11" t="s">
        <v>7</v>
      </c>
      <c r="B17" s="12">
        <v>46046</v>
      </c>
      <c r="C17" s="13">
        <v>1</v>
      </c>
      <c r="D17" s="13">
        <v>2.25</v>
      </c>
      <c r="E17" s="14" t="s">
        <v>20</v>
      </c>
      <c r="F17" s="15" t="s">
        <v>17</v>
      </c>
    </row>
    <row r="18" spans="1:6">
      <c r="A18" s="11" t="s">
        <v>7</v>
      </c>
      <c r="B18" s="12">
        <v>46046</v>
      </c>
      <c r="C18" s="13">
        <v>2</v>
      </c>
      <c r="D18" s="13">
        <v>1.5</v>
      </c>
      <c r="E18" s="14" t="s">
        <v>20</v>
      </c>
      <c r="F18" s="15" t="s">
        <v>17</v>
      </c>
    </row>
    <row r="19" spans="1:6">
      <c r="A19" s="11" t="s">
        <v>7</v>
      </c>
      <c r="B19" s="12">
        <v>46060</v>
      </c>
      <c r="C19" s="13">
        <v>1</v>
      </c>
      <c r="D19" s="13">
        <v>1</v>
      </c>
      <c r="E19" s="14" t="s">
        <v>20</v>
      </c>
    </row>
    <row r="20" spans="1:6">
      <c r="A20" s="11" t="s">
        <v>7</v>
      </c>
      <c r="B20" s="12">
        <v>46060</v>
      </c>
      <c r="C20" s="13">
        <v>2</v>
      </c>
      <c r="D20" s="13">
        <v>1</v>
      </c>
      <c r="E20" s="14" t="s">
        <v>20</v>
      </c>
    </row>
    <row r="21" spans="1:6">
      <c r="A21" s="11" t="s">
        <v>7</v>
      </c>
      <c r="B21" s="12">
        <v>46060</v>
      </c>
      <c r="C21" s="13">
        <v>3</v>
      </c>
      <c r="D21" s="13">
        <v>1</v>
      </c>
      <c r="E21" s="14" t="s">
        <v>20</v>
      </c>
    </row>
    <row r="22" spans="1:6">
      <c r="A22" s="11" t="s">
        <v>7</v>
      </c>
      <c r="B22" s="12">
        <v>46060</v>
      </c>
      <c r="C22" s="13">
        <v>4</v>
      </c>
      <c r="D22" s="13">
        <v>1.5</v>
      </c>
      <c r="E22" s="14" t="s">
        <v>20</v>
      </c>
    </row>
    <row r="23" spans="1:6">
      <c r="A23" s="11" t="s">
        <v>7</v>
      </c>
      <c r="B23" s="12">
        <v>46075</v>
      </c>
      <c r="C23" s="13">
        <v>1</v>
      </c>
      <c r="E23" s="16" t="s">
        <v>10</v>
      </c>
    </row>
    <row r="24" spans="1:6">
      <c r="A24" s="11" t="s">
        <v>7</v>
      </c>
      <c r="B24" s="12">
        <v>46082</v>
      </c>
      <c r="C24" s="13">
        <v>1</v>
      </c>
      <c r="E24" s="16" t="s">
        <v>10</v>
      </c>
    </row>
    <row r="25" spans="1:6">
      <c r="A25" s="11" t="s">
        <v>9</v>
      </c>
      <c r="B25" s="12">
        <v>46039</v>
      </c>
      <c r="C25" s="13">
        <v>1</v>
      </c>
      <c r="D25" s="13">
        <v>1.5</v>
      </c>
      <c r="E25" s="14" t="s">
        <v>20</v>
      </c>
      <c r="F25" s="15" t="s">
        <v>17</v>
      </c>
    </row>
    <row r="26" spans="1:6">
      <c r="A26" s="11" t="s">
        <v>9</v>
      </c>
      <c r="B26" s="12">
        <v>46039</v>
      </c>
      <c r="C26" s="13">
        <v>2</v>
      </c>
      <c r="D26" s="13">
        <v>1.5</v>
      </c>
      <c r="E26" s="14" t="s">
        <v>20</v>
      </c>
      <c r="F26" s="15" t="s">
        <v>17</v>
      </c>
    </row>
    <row r="27" spans="1:6">
      <c r="A27" s="11" t="s">
        <v>9</v>
      </c>
      <c r="B27" s="12">
        <v>46040</v>
      </c>
      <c r="C27" s="13">
        <v>1</v>
      </c>
      <c r="D27" s="13">
        <v>1.5</v>
      </c>
      <c r="E27" s="14" t="s">
        <v>20</v>
      </c>
      <c r="F27" s="15" t="s">
        <v>17</v>
      </c>
    </row>
    <row r="28" spans="1:6">
      <c r="A28" s="11" t="s">
        <v>9</v>
      </c>
      <c r="B28" s="12">
        <v>46040</v>
      </c>
      <c r="C28" s="13">
        <v>2</v>
      </c>
      <c r="D28" s="13">
        <v>1.5</v>
      </c>
      <c r="E28" s="14" t="s">
        <v>20</v>
      </c>
      <c r="F28" s="15" t="s">
        <v>17</v>
      </c>
    </row>
    <row r="29" spans="1:6">
      <c r="A29" s="11" t="s">
        <v>9</v>
      </c>
      <c r="B29" s="12">
        <v>46047</v>
      </c>
      <c r="C29" s="13">
        <v>1</v>
      </c>
      <c r="E29" s="16" t="s">
        <v>10</v>
      </c>
    </row>
    <row r="30" spans="1:6">
      <c r="A30" s="11" t="s">
        <v>9</v>
      </c>
      <c r="B30" s="12">
        <v>46053</v>
      </c>
      <c r="C30" s="13">
        <v>1</v>
      </c>
      <c r="D30" s="13">
        <v>1.5</v>
      </c>
      <c r="E30" s="14" t="s">
        <v>20</v>
      </c>
    </row>
    <row r="31" spans="1:6">
      <c r="A31" s="11" t="s">
        <v>9</v>
      </c>
      <c r="B31" s="12">
        <v>46053</v>
      </c>
      <c r="C31" s="13">
        <v>2</v>
      </c>
      <c r="D31" s="13">
        <v>1.5</v>
      </c>
      <c r="E31" s="14" t="s">
        <v>20</v>
      </c>
    </row>
    <row r="32" spans="1:6">
      <c r="A32" s="11" t="s">
        <v>9</v>
      </c>
      <c r="B32" s="12">
        <v>46082</v>
      </c>
      <c r="E32" s="16" t="s">
        <v>10</v>
      </c>
    </row>
    <row r="33" spans="1:6">
      <c r="A33" s="11" t="s">
        <v>19</v>
      </c>
      <c r="B33" s="12">
        <v>46053</v>
      </c>
      <c r="E33" s="16" t="s">
        <v>10</v>
      </c>
    </row>
    <row r="34" spans="1:6">
      <c r="A34" s="11" t="s">
        <v>19</v>
      </c>
      <c r="B34" s="12">
        <v>46060</v>
      </c>
      <c r="C34" s="13">
        <v>1</v>
      </c>
      <c r="D34" s="13">
        <v>0.5</v>
      </c>
      <c r="E34" s="14" t="s">
        <v>20</v>
      </c>
      <c r="F34" s="15" t="s">
        <v>17</v>
      </c>
    </row>
    <row r="35" spans="1:6">
      <c r="A35" s="11" t="s">
        <v>19</v>
      </c>
      <c r="B35" s="12">
        <v>46060</v>
      </c>
      <c r="C35" s="13">
        <v>2</v>
      </c>
      <c r="D35" s="13">
        <v>1.5</v>
      </c>
      <c r="E35" s="14" t="s">
        <v>20</v>
      </c>
      <c r="F35" s="15" t="s">
        <v>17</v>
      </c>
    </row>
    <row r="36" spans="1:6">
      <c r="A36" s="11" t="s">
        <v>19</v>
      </c>
      <c r="B36" s="12">
        <v>46060</v>
      </c>
      <c r="C36" s="13">
        <v>3</v>
      </c>
      <c r="D36" s="13">
        <v>1</v>
      </c>
      <c r="E36" s="14" t="s">
        <v>20</v>
      </c>
    </row>
    <row r="37" spans="1:6">
      <c r="A37" s="11" t="s">
        <v>19</v>
      </c>
      <c r="B37" s="12">
        <v>46061</v>
      </c>
      <c r="E37" s="16" t="s">
        <v>10</v>
      </c>
    </row>
    <row r="38" spans="1:6">
      <c r="A38" s="11" t="s">
        <v>19</v>
      </c>
      <c r="B38" s="12">
        <v>46075</v>
      </c>
      <c r="C38" s="13">
        <v>1</v>
      </c>
      <c r="D38" s="13">
        <v>1.5</v>
      </c>
      <c r="E38" s="21" t="s">
        <v>20</v>
      </c>
    </row>
    <row r="39" spans="1:6">
      <c r="A39" s="11" t="s">
        <v>18</v>
      </c>
      <c r="B39" s="12">
        <v>46032</v>
      </c>
      <c r="C39" s="13">
        <v>1</v>
      </c>
      <c r="D39" s="13">
        <v>1.5</v>
      </c>
      <c r="E39" s="21" t="s">
        <v>20</v>
      </c>
      <c r="F39" s="15" t="s">
        <v>17</v>
      </c>
    </row>
    <row r="40" spans="1:6">
      <c r="A40" s="11" t="s">
        <v>18</v>
      </c>
      <c r="B40" s="12">
        <v>46032</v>
      </c>
      <c r="C40" s="13">
        <v>2</v>
      </c>
      <c r="D40" s="13">
        <v>1.5</v>
      </c>
      <c r="E40" s="21" t="s">
        <v>20</v>
      </c>
      <c r="F40" s="15" t="s">
        <v>17</v>
      </c>
    </row>
    <row r="41" spans="1:6">
      <c r="A41" s="11" t="s">
        <v>18</v>
      </c>
      <c r="B41" s="12">
        <v>46046</v>
      </c>
      <c r="C41" s="13">
        <v>1</v>
      </c>
      <c r="D41" s="13">
        <v>1</v>
      </c>
      <c r="E41" s="21" t="s">
        <v>20</v>
      </c>
    </row>
    <row r="42" spans="1:6">
      <c r="A42" s="11" t="s">
        <v>18</v>
      </c>
      <c r="B42" s="12">
        <v>46046</v>
      </c>
      <c r="C42" s="13">
        <v>2</v>
      </c>
      <c r="D42" s="13">
        <v>1</v>
      </c>
      <c r="E42" s="21" t="s">
        <v>20</v>
      </c>
    </row>
    <row r="43" spans="1:6">
      <c r="A43" s="11" t="s">
        <v>18</v>
      </c>
      <c r="B43" s="12">
        <v>46046</v>
      </c>
      <c r="C43" s="13">
        <v>3</v>
      </c>
      <c r="D43" s="13">
        <v>1.5</v>
      </c>
      <c r="E43" s="21" t="s">
        <v>20</v>
      </c>
    </row>
    <row r="44" spans="1:6">
      <c r="A44" s="11" t="s">
        <v>18</v>
      </c>
      <c r="B44" s="12">
        <v>46047</v>
      </c>
      <c r="C44" s="13">
        <v>1</v>
      </c>
      <c r="D44" s="13">
        <v>1.5</v>
      </c>
      <c r="E44" s="21" t="s">
        <v>20</v>
      </c>
    </row>
    <row r="45" spans="1:6">
      <c r="A45" s="11" t="s">
        <v>18</v>
      </c>
      <c r="B45" s="12">
        <v>46047</v>
      </c>
      <c r="C45" s="13">
        <v>2</v>
      </c>
      <c r="D45" s="13">
        <v>1</v>
      </c>
      <c r="E45" s="21" t="s">
        <v>20</v>
      </c>
    </row>
    <row r="46" spans="1:6">
      <c r="A46" s="11" t="s">
        <v>18</v>
      </c>
      <c r="B46" s="12">
        <v>46081</v>
      </c>
      <c r="E46" s="16" t="s">
        <v>10</v>
      </c>
    </row>
    <row r="47" spans="1:6">
      <c r="A47" s="11" t="s">
        <v>8</v>
      </c>
      <c r="B47" s="12">
        <v>46026</v>
      </c>
      <c r="C47" s="13">
        <v>1</v>
      </c>
      <c r="D47" s="13">
        <v>1</v>
      </c>
      <c r="E47" s="14" t="s">
        <v>20</v>
      </c>
      <c r="F47" s="15" t="s">
        <v>17</v>
      </c>
    </row>
    <row r="48" spans="1:6">
      <c r="A48" s="11" t="s">
        <v>8</v>
      </c>
      <c r="B48" s="12">
        <v>46026</v>
      </c>
      <c r="C48" s="13">
        <v>2</v>
      </c>
      <c r="D48" s="13">
        <v>1</v>
      </c>
      <c r="E48" s="14" t="s">
        <v>20</v>
      </c>
      <c r="F48" s="15" t="s">
        <v>17</v>
      </c>
    </row>
    <row r="49" spans="1:10">
      <c r="A49" s="11" t="s">
        <v>8</v>
      </c>
      <c r="B49" s="12">
        <v>46026</v>
      </c>
      <c r="C49" s="13">
        <v>3</v>
      </c>
      <c r="D49" s="13">
        <v>1</v>
      </c>
      <c r="E49" s="14" t="s">
        <v>20</v>
      </c>
      <c r="F49" s="15" t="s">
        <v>17</v>
      </c>
    </row>
    <row r="50" spans="1:10">
      <c r="A50" s="11" t="s">
        <v>8</v>
      </c>
      <c r="B50" s="12">
        <v>46033</v>
      </c>
      <c r="C50" s="13">
        <v>1</v>
      </c>
      <c r="D50" s="13">
        <v>1.5</v>
      </c>
      <c r="E50" s="14" t="s">
        <v>20</v>
      </c>
      <c r="F50" s="15" t="s">
        <v>17</v>
      </c>
    </row>
    <row r="51" spans="1:10">
      <c r="A51" s="11" t="s">
        <v>8</v>
      </c>
      <c r="B51" s="12">
        <v>46033</v>
      </c>
      <c r="C51" s="13">
        <v>2</v>
      </c>
      <c r="D51" s="13">
        <v>1.5</v>
      </c>
      <c r="E51" s="14" t="s">
        <v>20</v>
      </c>
      <c r="F51" s="15" t="s">
        <v>17</v>
      </c>
    </row>
    <row r="52" spans="1:10">
      <c r="A52" s="11" t="s">
        <v>8</v>
      </c>
      <c r="B52" s="12">
        <v>46036</v>
      </c>
      <c r="C52" s="13">
        <v>1</v>
      </c>
      <c r="D52" s="13">
        <v>2</v>
      </c>
      <c r="E52" s="14" t="s">
        <v>20</v>
      </c>
    </row>
    <row r="53" spans="1:10">
      <c r="A53" s="11" t="s">
        <v>8</v>
      </c>
      <c r="B53" s="12">
        <v>46036</v>
      </c>
      <c r="C53" s="13">
        <v>2</v>
      </c>
      <c r="D53" s="13">
        <v>1</v>
      </c>
      <c r="E53" s="14" t="s">
        <v>20</v>
      </c>
    </row>
    <row r="54" spans="1:10" s="71" customFormat="1">
      <c r="A54" s="11"/>
      <c r="B54" s="12"/>
      <c r="C54" s="13"/>
      <c r="D54" s="13"/>
      <c r="E54" s="13"/>
      <c r="F54" s="15"/>
      <c r="I54" s="72"/>
      <c r="J54" s="73"/>
    </row>
    <row r="55" spans="1:10" s="71" customFormat="1">
      <c r="A55" s="11"/>
      <c r="B55" s="12"/>
      <c r="C55" s="13"/>
      <c r="D55" s="13"/>
      <c r="E55" s="70"/>
      <c r="F55" s="15"/>
      <c r="I55" s="72"/>
      <c r="J55" s="73"/>
    </row>
    <row r="57" spans="1:10">
      <c r="E57" s="14"/>
    </row>
    <row r="1048575" spans="1:6">
      <c r="A1048575" s="17"/>
      <c r="B1048575" s="18"/>
      <c r="C1048575" s="19"/>
      <c r="D1048575" s="19"/>
      <c r="E1048575" s="19"/>
      <c r="F1048575" s="20"/>
    </row>
    <row r="1048576" spans="1:6">
      <c r="A1048576" s="17"/>
      <c r="B1048576" s="18"/>
      <c r="C1048576" s="19"/>
      <c r="D1048576" s="19"/>
      <c r="E1048576" s="19"/>
      <c r="F1048576" s="20"/>
    </row>
  </sheetData>
  <conditionalFormatting sqref="E1:E1048576">
    <cfRule type="cellIs" dxfId="16" priority="1" operator="equal">
      <formula>"?"</formula>
    </cfRule>
  </conditionalFormatting>
  <dataValidations count="1">
    <dataValidation type="list" showInputMessage="1" showErrorMessage="1" sqref="F1:F1048576" xr:uid="{CCCE8E3E-AA6A-4380-98A2-14167F228C62}">
      <formula1>"Yes,No"</formula1>
    </dataValidation>
  </dataValidations>
  <hyperlinks>
    <hyperlink ref="E52" r:id="rId1" xr:uid="{83D5818E-D001-4BC2-8745-CFCD1E284D6C}"/>
    <hyperlink ref="E47" r:id="rId2" xr:uid="{2421E44B-80DD-476B-A33F-09F4B3F59C1B}"/>
    <hyperlink ref="E2" r:id="rId3" xr:uid="{4953F97B-D7C8-4F42-AE45-5EF470D8B2FF}"/>
    <hyperlink ref="E3" r:id="rId4" xr:uid="{8B4EF6DC-90FA-43A0-8801-9D7423C0A821}"/>
    <hyperlink ref="E4" r:id="rId5" xr:uid="{25BA80B5-A841-4958-BBED-AF754F8957AC}"/>
    <hyperlink ref="E5" r:id="rId6" xr:uid="{0040E897-48F9-4380-BBD9-324A87D07696}"/>
    <hyperlink ref="E6" r:id="rId7" xr:uid="{CD1DBDE4-7F10-4D1A-A5D9-55A2D7DB74B1}"/>
    <hyperlink ref="E7" r:id="rId8" xr:uid="{AC04A774-76AA-4E74-B6DF-28F0EB9AD085}"/>
    <hyperlink ref="E8" r:id="rId9" xr:uid="{6CCF1ED7-C09F-4DB1-A636-C77C57E50474}"/>
    <hyperlink ref="E9" r:id="rId10" xr:uid="{68A80385-B314-4D2E-8CDD-F90FA088E905}"/>
    <hyperlink ref="E10" r:id="rId11" xr:uid="{869661C0-77AD-44FD-8FAB-9C0FD13B9C0E}"/>
    <hyperlink ref="E11" r:id="rId12" xr:uid="{AF9B4A36-93A6-4B09-AB05-C898A77C7EDF}"/>
    <hyperlink ref="E13" r:id="rId13" xr:uid="{23DE765E-71D6-43EB-8869-0B850D15CF00}"/>
    <hyperlink ref="E14" r:id="rId14" xr:uid="{055733D7-1C2D-4634-87F4-4368745AB14B}"/>
    <hyperlink ref="E15" r:id="rId15" xr:uid="{44881A4D-07CE-45E5-8B13-80628B5B1A0B}"/>
    <hyperlink ref="E16" r:id="rId16" xr:uid="{CF0EB940-F9AC-4E17-AC57-D4A1AA8A458B}"/>
    <hyperlink ref="E17" r:id="rId17" xr:uid="{7A22A72A-F857-43D9-B3FE-64A58D0FD14F}"/>
    <hyperlink ref="E18" r:id="rId18" xr:uid="{62EB00F9-934F-402F-8BDB-D8E9F81DA79E}"/>
    <hyperlink ref="E19" r:id="rId19" xr:uid="{E9729CAC-69F6-4BE6-8B59-0B62F539085A}"/>
    <hyperlink ref="E20" r:id="rId20" xr:uid="{E1964CC8-E18F-470A-8214-74A60E2398DA}"/>
    <hyperlink ref="E21" r:id="rId21" xr:uid="{E3EB150F-9D10-44D0-9A61-A7DD25904837}"/>
    <hyperlink ref="E22" r:id="rId22" xr:uid="{201B7661-2888-463D-A6CA-B1A2FB21BE0A}"/>
    <hyperlink ref="E25" r:id="rId23" xr:uid="{800888D5-D44A-41A9-853B-B4B07F2BCE8F}"/>
    <hyperlink ref="E26" r:id="rId24" xr:uid="{DF70C7A8-78C7-4447-8BC1-B8CD1504E804}"/>
    <hyperlink ref="E27" r:id="rId25" xr:uid="{74D698DD-C60A-4487-ACF3-42F7FBA277E2}"/>
    <hyperlink ref="E28" r:id="rId26" xr:uid="{88961468-2603-41D4-9FBB-523A1148F404}"/>
    <hyperlink ref="E30" r:id="rId27" xr:uid="{14323744-B7FD-4BF6-841F-50B91A5518F8}"/>
    <hyperlink ref="E31" r:id="rId28" xr:uid="{34AFF389-3850-4B15-9854-86866877FAF8}"/>
    <hyperlink ref="E34" r:id="rId29" xr:uid="{A7B2B331-2171-4463-8714-2D0358986204}"/>
    <hyperlink ref="E35" r:id="rId30" xr:uid="{3CAA9237-5258-40F7-A339-B3C41813ECB1}"/>
    <hyperlink ref="E36" r:id="rId31" xr:uid="{F5302ECA-F26B-4A92-B880-E35A151B112C}"/>
    <hyperlink ref="E38" r:id="rId32" xr:uid="{6092985C-2651-4349-83A6-A4D73EF468EA}"/>
    <hyperlink ref="E39" r:id="rId33" xr:uid="{3635C39F-0A35-4D07-B626-D22BF6D1E5C5}"/>
    <hyperlink ref="E40" r:id="rId34" xr:uid="{407F0C30-E812-4B8C-8417-D30B9A70F5ED}"/>
    <hyperlink ref="E41" r:id="rId35" xr:uid="{7464C406-B618-4DCD-AB79-68ED7D1B0523}"/>
    <hyperlink ref="E42" r:id="rId36" xr:uid="{0AC9D618-F062-4C92-AB1C-88574D2A2FD3}"/>
    <hyperlink ref="E43" r:id="rId37" xr:uid="{A2AA0E1F-D9AA-4EE2-96FF-4185108AA43B}"/>
    <hyperlink ref="E44" r:id="rId38" xr:uid="{41A825B6-3CF9-4565-8105-B6CE1198B175}"/>
    <hyperlink ref="E45" r:id="rId39" xr:uid="{6993E49D-A9D1-4E20-8717-1C58CFA5D272}"/>
    <hyperlink ref="E48" r:id="rId40" xr:uid="{E0E645C7-0ABD-4456-8C90-91CEE3FC0978}"/>
    <hyperlink ref="E49" r:id="rId41" xr:uid="{77783F7D-2A2F-47BF-9A70-3FA2A56F251E}"/>
    <hyperlink ref="E50" r:id="rId42" xr:uid="{AEAC7052-A495-4D75-A824-45F3ED979B0B}"/>
    <hyperlink ref="E51" r:id="rId43" xr:uid="{5450140A-9B15-403A-9879-40995812A066}"/>
    <hyperlink ref="E53" r:id="rId44" xr:uid="{305AB2E2-51DF-42E7-A6FB-617B71A241AC}"/>
  </hyperlinks>
  <pageMargins left="0.7" right="0.7" top="0.75" bottom="0.75" header="0.3" footer="0.3"/>
  <tableParts count="2">
    <tablePart r:id="rId45"/>
    <tablePart r:id="rId4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91702-B5B5-498D-BA18-094AA103E34C}">
  <sheetPr codeName="Sheet3"/>
  <dimension ref="A1:P11"/>
  <sheetViews>
    <sheetView zoomScaleNormal="100" workbookViewId="0">
      <selection activeCell="P14" sqref="P14"/>
    </sheetView>
  </sheetViews>
  <sheetFormatPr defaultRowHeight="14.4"/>
  <cols>
    <col min="1" max="1" width="2" style="23" customWidth="1"/>
    <col min="2" max="2" width="24.5546875" style="23" customWidth="1"/>
    <col min="3" max="3" width="10.21875" style="24" customWidth="1"/>
    <col min="4" max="6" width="10.21875" style="25" customWidth="1"/>
    <col min="7" max="7" width="2.77734375" style="25" customWidth="1"/>
    <col min="8" max="8" width="15.77734375" style="25" customWidth="1"/>
    <col min="9" max="9" width="21.77734375" style="23" customWidth="1"/>
    <col min="10" max="10" width="11.6640625" style="23" bestFit="1" customWidth="1"/>
    <col min="11" max="11" width="3.44140625" style="23" customWidth="1"/>
    <col min="12" max="12" width="20.33203125" style="23" bestFit="1" customWidth="1"/>
    <col min="13" max="13" width="5.109375" style="23" bestFit="1" customWidth="1"/>
    <col min="14" max="14" width="21.77734375" style="23" bestFit="1" customWidth="1"/>
    <col min="15" max="15" width="5" style="23" customWidth="1"/>
    <col min="16" max="16" width="22.44140625" style="23" bestFit="1" customWidth="1"/>
    <col min="17" max="17" width="8.88671875" style="23" bestFit="1" customWidth="1"/>
    <col min="18" max="18" width="10.77734375" style="23" bestFit="1" customWidth="1"/>
    <col min="19" max="16384" width="8.88671875" style="23"/>
  </cols>
  <sheetData>
    <row r="1" spans="1:16">
      <c r="A1" s="32">
        <v>0</v>
      </c>
      <c r="B1" s="69">
        <v>0</v>
      </c>
      <c r="C1" s="33">
        <v>0</v>
      </c>
      <c r="D1" s="34">
        <v>0</v>
      </c>
      <c r="E1" s="34">
        <v>0</v>
      </c>
      <c r="F1" s="22"/>
      <c r="G1" s="22"/>
      <c r="H1" s="38" t="s">
        <v>10</v>
      </c>
    </row>
    <row r="2" spans="1:16">
      <c r="L2" s="35" t="str">
        <f>B4</f>
        <v>Marketing Management</v>
      </c>
      <c r="N2" s="35" t="str">
        <f>B5</f>
        <v>Business Law</v>
      </c>
      <c r="P2" s="35" t="str">
        <f>B6</f>
        <v>Operation Management</v>
      </c>
    </row>
    <row r="3" spans="1:16">
      <c r="B3" s="26" t="s">
        <v>0</v>
      </c>
      <c r="C3" s="27" t="s">
        <v>11</v>
      </c>
      <c r="D3" s="27" t="s">
        <v>13</v>
      </c>
      <c r="E3" s="27" t="s">
        <v>15</v>
      </c>
      <c r="F3" s="27" t="s">
        <v>12</v>
      </c>
      <c r="G3" s="28"/>
    </row>
    <row r="4" spans="1:16">
      <c r="B4" s="26" t="s">
        <v>9</v>
      </c>
      <c r="C4" s="22">
        <f>SUMIF('Data Table'!$A:$A,B4,'Data Table'!$D:$D)</f>
        <v>9</v>
      </c>
      <c r="D4" s="22">
        <f>SUMIFS('Data Table'!$D:$D,'Data Table'!$A:$A,Overview!B4,'Data Table'!$F:$F,"=Yes")</f>
        <v>6</v>
      </c>
      <c r="E4" s="29">
        <f>C4-D4</f>
        <v>3</v>
      </c>
      <c r="F4" s="22">
        <f>COUNTIFS('Data Table'!$A:$A, Overview!B4,
          'Data Table'!$E:$E, "~?")</f>
        <v>2</v>
      </c>
      <c r="G4" s="30"/>
    </row>
    <row r="5" spans="1:16">
      <c r="B5" s="26" t="s">
        <v>8</v>
      </c>
      <c r="C5" s="22">
        <f>SUMIF('Data Table'!$A:$A,B5,'Data Table'!$D:$D)</f>
        <v>9</v>
      </c>
      <c r="D5" s="22">
        <f>SUMIFS('Data Table'!$D:$D,'Data Table'!$A:$A,Overview!B5,'Data Table'!$F:$F,"=Yes")</f>
        <v>6</v>
      </c>
      <c r="E5" s="29">
        <f t="shared" ref="E5:E10" si="0">C5-D5</f>
        <v>3</v>
      </c>
      <c r="F5" s="22">
        <f>COUNTIFS('Data Table'!$A:$A, Overview!B5,
          'Data Table'!$E:$E, "~?")</f>
        <v>0</v>
      </c>
      <c r="G5" s="30"/>
    </row>
    <row r="6" spans="1:16">
      <c r="B6" s="26" t="s">
        <v>19</v>
      </c>
      <c r="C6" s="22">
        <f>SUMIF('Data Table'!$A:$A,B6,'Data Table'!$D:$D)</f>
        <v>5.5</v>
      </c>
      <c r="D6" s="22">
        <f>SUMIFS('Data Table'!$D:$D,'Data Table'!$A:$A,Overview!B6,'Data Table'!$F:$F,"=Yes")</f>
        <v>2</v>
      </c>
      <c r="E6" s="29">
        <f t="shared" si="0"/>
        <v>3.5</v>
      </c>
      <c r="F6" s="22">
        <f>COUNTIFS('Data Table'!$A:$A, Overview!B6,
          'Data Table'!$E:$E, "~?")</f>
        <v>2</v>
      </c>
      <c r="G6" s="30"/>
      <c r="L6" s="35" t="str">
        <f>B7</f>
        <v>Cost Mgt &amp; Accounting</v>
      </c>
      <c r="N6" s="35" t="str">
        <f>B8</f>
        <v>Financial Management</v>
      </c>
      <c r="P6" s="35" t="str">
        <f>B9</f>
        <v>Organisational Behaviour</v>
      </c>
    </row>
    <row r="7" spans="1:16">
      <c r="B7" s="26" t="s">
        <v>18</v>
      </c>
      <c r="C7" s="22">
        <f>SUMIF('Data Table'!$A:$A,B7,'Data Table'!$D:$D)</f>
        <v>9</v>
      </c>
      <c r="D7" s="22">
        <f>SUMIFS('Data Table'!$D:$D,'Data Table'!$A:$A,Overview!B7,'Data Table'!$F:$F,"=Yes")</f>
        <v>3</v>
      </c>
      <c r="E7" s="29">
        <f t="shared" si="0"/>
        <v>6</v>
      </c>
      <c r="F7" s="22">
        <f>COUNTIFS('Data Table'!$A:$A, Overview!B7,
          'Data Table'!$E:$E, "~?")</f>
        <v>1</v>
      </c>
      <c r="G7" s="30"/>
      <c r="L7" s="31"/>
    </row>
    <row r="8" spans="1:16">
      <c r="B8" s="26" t="s">
        <v>7</v>
      </c>
      <c r="C8" s="22">
        <f>SUMIF('Data Table'!$A:$A,B8,'Data Table'!$D:$D)</f>
        <v>15</v>
      </c>
      <c r="D8" s="22">
        <f>SUMIFS('Data Table'!$D:$D,'Data Table'!$A:$A,Overview!B8,'Data Table'!$F:$F,"=Yes")</f>
        <v>10.5</v>
      </c>
      <c r="E8" s="29">
        <f t="shared" si="0"/>
        <v>4.5</v>
      </c>
      <c r="F8" s="22">
        <f>COUNTIFS('Data Table'!$A:$A, Overview!B8,
          'Data Table'!$E:$E, "~?")</f>
        <v>2</v>
      </c>
      <c r="G8" s="30"/>
      <c r="L8" s="31"/>
    </row>
    <row r="9" spans="1:16">
      <c r="B9" s="26" t="s">
        <v>5</v>
      </c>
      <c r="C9" s="22">
        <f>SUMIF('Data Table'!$A:$A,B9,'Data Table'!$D:$D)</f>
        <v>6</v>
      </c>
      <c r="D9" s="22">
        <f>SUMIFS('Data Table'!$D:$D,'Data Table'!$A:$A,Overview!B9,'Data Table'!$F:$F,"=Yes")</f>
        <v>3</v>
      </c>
      <c r="E9" s="29">
        <f t="shared" si="0"/>
        <v>3</v>
      </c>
      <c r="F9" s="22">
        <f>COUNTIFS('Data Table'!$A:$A, Overview!B9,
          'Data Table'!$E:$E, "~?")</f>
        <v>0</v>
      </c>
      <c r="G9" s="30"/>
      <c r="L9" s="31"/>
    </row>
    <row r="10" spans="1:16">
      <c r="B10" s="26" t="s">
        <v>6</v>
      </c>
      <c r="C10" s="22">
        <f>SUMIF('Data Table'!$A:$A,B10,'Data Table'!$D:$D)</f>
        <v>9.5</v>
      </c>
      <c r="D10" s="22">
        <f>SUMIFS('Data Table'!$D:$D,'Data Table'!$A:$A,Overview!B10,'Data Table'!$F:$F,"=Yes")</f>
        <v>7.5</v>
      </c>
      <c r="E10" s="29">
        <f t="shared" si="0"/>
        <v>2</v>
      </c>
      <c r="F10" s="22">
        <f>COUNTIFS('Data Table'!$A:$A, Overview!B10,
          'Data Table'!$E:$E, "~?")</f>
        <v>1</v>
      </c>
      <c r="G10" s="30"/>
      <c r="L10" s="35" t="str">
        <f>Table1[[#This Row],[Subject]]</f>
        <v>HRM</v>
      </c>
      <c r="N10" s="36" t="str">
        <f>B11</f>
        <v>Overview</v>
      </c>
      <c r="P10" s="37" t="s">
        <v>21</v>
      </c>
    </row>
    <row r="11" spans="1:16">
      <c r="B11" s="26" t="s">
        <v>16</v>
      </c>
      <c r="C11" s="29">
        <f t="shared" ref="C11:F11" si="1">SUBTOTAL(109,C4:C10)</f>
        <v>63</v>
      </c>
      <c r="D11" s="29">
        <f t="shared" si="1"/>
        <v>38</v>
      </c>
      <c r="E11" s="29">
        <f t="shared" si="1"/>
        <v>25</v>
      </c>
      <c r="F11" s="29">
        <f t="shared" si="1"/>
        <v>8</v>
      </c>
      <c r="G11" s="30"/>
    </row>
  </sheetData>
  <pageMargins left="0.7" right="0.7" top="0.75" bottom="0.75" header="0.3" footer="0.3"/>
  <ignoredErrors>
    <ignoredError sqref="C11" calculatedColumn="1"/>
  </ignoredErrors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Interface</vt:lpstr>
      <vt:lpstr>Data Table</vt:lpstr>
      <vt:lpstr>Overview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Arosha Weerawardana</dc:creator>
  <cp:lastModifiedBy>Arosha Weerawardana</cp:lastModifiedBy>
  <dcterms:created xsi:type="dcterms:W3CDTF">2015-06-05T18:17:20Z</dcterms:created>
  <dcterms:modified xsi:type="dcterms:W3CDTF">2026-03-27T08:06:34Z</dcterms:modified>
</cp:coreProperties>
</file>